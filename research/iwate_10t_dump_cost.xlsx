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前提条件" sheetId="1" state="visible" r:id="rId3"/>
    <sheet name="A_事業者原価" sheetId="2" state="visible" r:id="rId4"/>
    <sheet name="B_公共積算" sheetId="3" state="visible" r:id="rId5"/>
    <sheet name="比較・感度" sheetId="4" state="visible" r:id="rId6"/>
    <sheet name="出典"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<sst xmlns="http://schemas.openxmlformats.org/spreadsheetml/2006/main" count="242" uniqueCount="191">
  <si>
    <r>
      <rPr>
        <b val="true"/>
        <sz val="13"/>
        <color rgb="FF000000"/>
        <rFont val="WenQuanYi Zen Hei"/>
        <family val="2"/>
      </rPr>
      <t xml:space="preserve">岩手県 </t>
    </r>
    <r>
      <rPr>
        <b val="true"/>
        <sz val="13"/>
        <color rgb="FF000000"/>
        <rFont val="Arial"/>
        <family val="0"/>
        <charset val="1"/>
      </rPr>
      <t xml:space="preserve">10t</t>
    </r>
    <r>
      <rPr>
        <b val="true"/>
        <sz val="13"/>
        <color rgb="FF000000"/>
        <rFont val="WenQuanYi Zen Hei"/>
        <family val="2"/>
      </rPr>
      <t xml:space="preserve">ダンプ（運転手付）</t>
    </r>
    <r>
      <rPr>
        <b val="true"/>
        <sz val="13"/>
        <color rgb="FF000000"/>
        <rFont val="Arial"/>
        <family val="0"/>
        <charset val="1"/>
      </rPr>
      <t xml:space="preserve">1</t>
    </r>
    <r>
      <rPr>
        <b val="true"/>
        <sz val="13"/>
        <color rgb="FF000000"/>
        <rFont val="WenQuanYi Zen Hei"/>
        <family val="2"/>
      </rPr>
      <t xml:space="preserve">日原価 試算 ― 前提条件</t>
    </r>
  </si>
  <si>
    <r>
      <rPr>
        <sz val="10"/>
        <color rgb="FF555555"/>
        <rFont val="WenQuanYi Zen Hei"/>
        <family val="2"/>
      </rPr>
      <t xml:space="preserve">凡例</t>
    </r>
    <r>
      <rPr>
        <sz val="10"/>
        <color rgb="FF555555"/>
        <rFont val="Arial"/>
        <family val="0"/>
        <charset val="1"/>
      </rPr>
      <t xml:space="preserve">: </t>
    </r>
    <r>
      <rPr>
        <sz val="10"/>
        <color rgb="FF555555"/>
        <rFont val="WenQuanYi Zen Hei"/>
        <family val="2"/>
      </rPr>
      <t xml:space="preserve">青字＝入力値（変更可）／黄色塗り＝結果への影響が大きい主要仮定／黒字＝計算式／緑字＝他シート参照。金額は税抜（円）。</t>
    </r>
  </si>
  <si>
    <r>
      <rPr>
        <sz val="10"/>
        <color rgb="FF555555"/>
        <rFont val="WenQuanYi Zen Hei"/>
        <family val="2"/>
      </rPr>
      <t xml:space="preserve">作成日 </t>
    </r>
    <r>
      <rPr>
        <sz val="10"/>
        <color rgb="FF555555"/>
        <rFont val="Arial"/>
        <family val="0"/>
        <charset val="1"/>
      </rPr>
      <t xml:space="preserve">2026-10-29</t>
    </r>
    <r>
      <rPr>
        <sz val="10"/>
        <color rgb="FF555555"/>
        <rFont val="WenQuanYi Zen Hei"/>
        <family val="2"/>
      </rPr>
      <t xml:space="preserve">。公式資料の値と『仮定』を区別して出典欄に記載。仮定は自社実績に置き換えて使用してください。</t>
    </r>
  </si>
  <si>
    <t xml:space="preserve">項目</t>
  </si>
  <si>
    <t xml:space="preserve">値</t>
  </si>
  <si>
    <t xml:space="preserve">単位</t>
  </si>
  <si>
    <t xml:space="preserve">区分</t>
  </si>
  <si>
    <t xml:space="preserve">出典・根拠</t>
  </si>
  <si>
    <t xml:space="preserve">■ 共通</t>
  </si>
  <si>
    <t xml:space="preserve">年間稼働日数</t>
  </si>
  <si>
    <r>
      <rPr>
        <sz val="10"/>
        <color rgb="FF000000"/>
        <rFont val="WenQuanYi Zen Hei"/>
        <family val="2"/>
      </rPr>
      <t xml:space="preserve">日</t>
    </r>
    <r>
      <rPr>
        <sz val="10"/>
        <color rgb="FF000000"/>
        <rFont val="Arial"/>
        <family val="0"/>
        <charset val="1"/>
      </rPr>
      <t xml:space="preserve">/</t>
    </r>
    <r>
      <rPr>
        <sz val="10"/>
        <color rgb="FF000000"/>
        <rFont val="WenQuanYi Zen Hei"/>
        <family val="2"/>
      </rPr>
      <t xml:space="preserve">年</t>
    </r>
  </si>
  <si>
    <t xml:space="preserve">仮定</t>
  </si>
  <si>
    <r>
      <rPr>
        <sz val="10"/>
        <color rgb="FF000000"/>
        <rFont val="WenQuanYi Zen Hei"/>
        <family val="2"/>
      </rPr>
      <t xml:space="preserve">週</t>
    </r>
    <r>
      <rPr>
        <sz val="10"/>
        <color rgb="FF000000"/>
        <rFont val="Arial"/>
        <family val="0"/>
        <charset val="1"/>
      </rPr>
      <t xml:space="preserve">5</t>
    </r>
    <r>
      <rPr>
        <sz val="10"/>
        <color rgb="FF000000"/>
        <rFont val="WenQuanYi Zen Hei"/>
        <family val="2"/>
      </rPr>
      <t xml:space="preserve">日</t>
    </r>
    <r>
      <rPr>
        <sz val="10"/>
        <color rgb="FF000000"/>
        <rFont val="Arial"/>
        <family val="0"/>
        <charset val="1"/>
      </rPr>
      <t xml:space="preserve">×50</t>
    </r>
    <r>
      <rPr>
        <sz val="10"/>
        <color rgb="FF000000"/>
        <rFont val="WenQuanYi Zen Hei"/>
        <family val="2"/>
      </rPr>
      <t xml:space="preserve">週程度。自社実績で置換</t>
    </r>
  </si>
  <si>
    <t xml:space="preserve">軽油単価（税込・店頭）</t>
  </si>
  <si>
    <r>
      <rPr>
        <sz val="10"/>
        <color rgb="FF000000"/>
        <rFont val="WenQuanYi Zen Hei"/>
        <family val="2"/>
      </rPr>
      <t xml:space="preserve">円</t>
    </r>
    <r>
      <rPr>
        <sz val="10"/>
        <color rgb="FF000000"/>
        <rFont val="Arial"/>
        <family val="0"/>
        <charset val="1"/>
      </rPr>
      <t xml:space="preserve">/L</t>
    </r>
  </si>
  <si>
    <t xml:space="preserve">公表値</t>
  </si>
  <si>
    <r>
      <rPr>
        <sz val="10"/>
        <color rgb="FF000000"/>
        <rFont val="WenQuanYi Zen Hei"/>
        <family val="2"/>
      </rPr>
      <t xml:space="preserve">資源エネルギー庁 石油製品価格調査 岩手県 </t>
    </r>
    <r>
      <rPr>
        <sz val="10"/>
        <color rgb="FF000000"/>
        <rFont val="Arial"/>
        <family val="0"/>
        <charset val="1"/>
      </rPr>
      <t xml:space="preserve">2026/10</t>
    </r>
    <r>
      <rPr>
        <sz val="10"/>
        <color rgb="FF000000"/>
        <rFont val="WenQuanYi Zen Hei"/>
        <family val="2"/>
      </rPr>
      <t xml:space="preserve">週次（</t>
    </r>
    <r>
      <rPr>
        <sz val="10"/>
        <color rgb="FF000000"/>
        <rFont val="Arial"/>
        <family val="0"/>
        <charset val="1"/>
      </rPr>
      <t xml:space="preserve">oil-stat.com / gasonavi </t>
    </r>
    <r>
      <rPr>
        <sz val="10"/>
        <color rgb="FF000000"/>
        <rFont val="WenQuanYi Zen Hei"/>
        <family val="2"/>
      </rPr>
      <t xml:space="preserve">経由）。大口契約は数円〜十数円安いことが多い</t>
    </r>
  </si>
  <si>
    <t xml:space="preserve">消費税率</t>
  </si>
  <si>
    <t xml:space="preserve">制度</t>
  </si>
  <si>
    <t xml:space="preserve">軽油単価（税抜）</t>
  </si>
  <si>
    <t xml:space="preserve">計算</t>
  </si>
  <si>
    <r>
      <rPr>
        <b val="true"/>
        <sz val="10"/>
        <color rgb="FF000000"/>
        <rFont val="WenQuanYi Zen Hei"/>
        <family val="2"/>
      </rPr>
      <t xml:space="preserve">■ 方式</t>
    </r>
    <r>
      <rPr>
        <b val="true"/>
        <sz val="10"/>
        <color rgb="FF000000"/>
        <rFont val="Arial"/>
        <family val="0"/>
        <charset val="1"/>
      </rPr>
      <t xml:space="preserve">A</t>
    </r>
    <r>
      <rPr>
        <b val="true"/>
        <sz val="10"/>
        <color rgb="FF000000"/>
        <rFont val="WenQuanYi Zen Hei"/>
        <family val="2"/>
      </rPr>
      <t xml:space="preserve">：運送事業者の原価（標準的運賃の原価項目に準拠）</t>
    </r>
  </si>
  <si>
    <t xml:space="preserve">車両取得価格（架装込・税抜）</t>
  </si>
  <si>
    <t xml:space="preserve">円</t>
  </si>
  <si>
    <r>
      <rPr>
        <sz val="10"/>
        <color rgb="FF000000"/>
        <rFont val="WenQuanYi Zen Hei"/>
        <family val="2"/>
      </rPr>
      <t xml:space="preserve">新車</t>
    </r>
    <r>
      <rPr>
        <sz val="10"/>
        <color rgb="FF000000"/>
        <rFont val="Arial"/>
        <family val="0"/>
        <charset val="1"/>
      </rPr>
      <t xml:space="preserve">10t</t>
    </r>
    <r>
      <rPr>
        <sz val="10"/>
        <color rgb="FF000000"/>
        <rFont val="WenQuanYi Zen Hei"/>
        <family val="2"/>
      </rPr>
      <t xml:space="preserve">ダンプの販売相場 税込約</t>
    </r>
    <r>
      <rPr>
        <sz val="10"/>
        <color rgb="FF000000"/>
        <rFont val="Arial"/>
        <family val="0"/>
        <charset val="1"/>
      </rPr>
      <t xml:space="preserve">1,800</t>
    </r>
    <r>
      <rPr>
        <sz val="10"/>
        <color rgb="FF000000"/>
        <rFont val="WenQuanYi Zen Hei"/>
        <family val="2"/>
      </rPr>
      <t xml:space="preserve">万〜</t>
    </r>
    <r>
      <rPr>
        <sz val="10"/>
        <color rgb="FF000000"/>
        <rFont val="Arial"/>
        <family val="0"/>
        <charset val="1"/>
      </rPr>
      <t xml:space="preserve">2,500</t>
    </r>
    <r>
      <rPr>
        <sz val="10"/>
        <color rgb="FF000000"/>
        <rFont val="WenQuanYi Zen Hei"/>
        <family val="2"/>
      </rPr>
      <t xml:space="preserve">万円（中心</t>
    </r>
    <r>
      <rPr>
        <sz val="10"/>
        <color rgb="FF000000"/>
        <rFont val="Arial"/>
        <family val="0"/>
        <charset val="1"/>
      </rPr>
      <t xml:space="preserve">2,000</t>
    </r>
    <r>
      <rPr>
        <sz val="10"/>
        <color rgb="FF000000"/>
        <rFont val="WenQuanYi Zen Hei"/>
        <family val="2"/>
      </rPr>
      <t xml:space="preserve">万円前後：トラック流通センター、</t>
    </r>
    <r>
      <rPr>
        <sz val="10"/>
        <color rgb="FF000000"/>
        <rFont val="Arial"/>
        <family val="0"/>
        <charset val="1"/>
      </rPr>
      <t xml:space="preserve">GROOWAVE</t>
    </r>
    <r>
      <rPr>
        <sz val="10"/>
        <color rgb="FF000000"/>
        <rFont val="WenQuanYi Zen Hei"/>
        <family val="2"/>
      </rPr>
      <t xml:space="preserve">、</t>
    </r>
    <r>
      <rPr>
        <sz val="10"/>
        <color rgb="FF000000"/>
        <rFont val="Arial"/>
        <family val="0"/>
        <charset val="1"/>
      </rPr>
      <t xml:space="preserve">SIGMA</t>
    </r>
    <r>
      <rPr>
        <sz val="10"/>
        <color rgb="FF000000"/>
        <rFont val="WenQuanYi Zen Hei"/>
        <family val="2"/>
      </rPr>
      <t xml:space="preserve">、販売店の</t>
    </r>
    <r>
      <rPr>
        <sz val="10"/>
        <color rgb="FF000000"/>
        <rFont val="Arial"/>
        <family val="0"/>
        <charset val="1"/>
      </rPr>
      <t xml:space="preserve">2026</t>
    </r>
    <r>
      <rPr>
        <sz val="10"/>
        <color rgb="FF000000"/>
        <rFont val="WenQuanYi Zen Hei"/>
        <family val="2"/>
      </rPr>
      <t xml:space="preserve">年式実例</t>
    </r>
    <r>
      <rPr>
        <sz val="10"/>
        <color rgb="FF000000"/>
        <rFont val="Arial"/>
        <family val="0"/>
        <charset val="1"/>
      </rPr>
      <t xml:space="preserve">2,491</t>
    </r>
    <r>
      <rPr>
        <sz val="10"/>
        <color rgb="FF000000"/>
        <rFont val="WenQuanYi Zen Hei"/>
        <family val="2"/>
      </rPr>
      <t xml:space="preserve">万円）を踏まえ</t>
    </r>
    <r>
      <rPr>
        <sz val="10"/>
        <color rgb="FF000000"/>
        <rFont val="Arial"/>
        <family val="0"/>
        <charset val="1"/>
      </rPr>
      <t xml:space="preserve">2,000</t>
    </r>
    <r>
      <rPr>
        <sz val="10"/>
        <color rgb="FF000000"/>
        <rFont val="WenQuanYi Zen Hei"/>
        <family val="2"/>
      </rPr>
      <t xml:space="preserve">万円と設定。参考：新潟県 機械損料一覧表</t>
    </r>
    <r>
      <rPr>
        <sz val="10"/>
        <color rgb="FF000000"/>
        <rFont val="Arial"/>
        <family val="0"/>
        <charset val="1"/>
      </rPr>
      <t xml:space="preserve">(R7.10</t>
    </r>
    <r>
      <rPr>
        <sz val="10"/>
        <color rgb="FF000000"/>
        <rFont val="WenQuanYi Zen Hei"/>
        <family val="2"/>
      </rPr>
      <t xml:space="preserve">適用</t>
    </r>
    <r>
      <rPr>
        <sz val="10"/>
        <color rgb="FF000000"/>
        <rFont val="Arial"/>
        <family val="0"/>
        <charset val="1"/>
      </rPr>
      <t xml:space="preserve">)</t>
    </r>
    <r>
      <rPr>
        <sz val="10"/>
        <color rgb="FF000000"/>
        <rFont val="WenQuanYi Zen Hei"/>
        <family val="2"/>
      </rPr>
      <t xml:space="preserve">の積算用基礎価格は</t>
    </r>
    <r>
      <rPr>
        <sz val="10"/>
        <color rgb="FF000000"/>
        <rFont val="Arial"/>
        <family val="0"/>
        <charset val="1"/>
      </rPr>
      <t xml:space="preserve">14,400</t>
    </r>
    <r>
      <rPr>
        <sz val="10"/>
        <color rgb="FF000000"/>
        <rFont val="WenQuanYi Zen Hei"/>
        <family val="2"/>
      </rPr>
      <t xml:space="preserve">千円</t>
    </r>
  </si>
  <si>
    <t xml:space="preserve">償却年数</t>
  </si>
  <si>
    <t xml:space="preserve">年</t>
  </si>
  <si>
    <t xml:space="preserve">基準</t>
  </si>
  <si>
    <r>
      <rPr>
        <sz val="10"/>
        <color rgb="FF000000"/>
        <rFont val="WenQuanYi Zen Hei"/>
        <family val="2"/>
      </rPr>
      <t xml:space="preserve">国交省『標準的な運賃』原価算定方法：償却年数</t>
    </r>
    <r>
      <rPr>
        <sz val="10"/>
        <color rgb="FF000000"/>
        <rFont val="Arial"/>
        <family val="0"/>
        <charset val="1"/>
      </rPr>
      <t xml:space="preserve">5</t>
    </r>
    <r>
      <rPr>
        <sz val="10"/>
        <color rgb="FF000000"/>
        <rFont val="WenQuanYi Zen Hei"/>
        <family val="2"/>
      </rPr>
      <t xml:space="preserve">年</t>
    </r>
  </si>
  <si>
    <t xml:space="preserve">残存価額</t>
  </si>
  <si>
    <r>
      <rPr>
        <sz val="10"/>
        <color rgb="FF000000"/>
        <rFont val="WenQuanYi Zen Hei"/>
        <family val="2"/>
      </rPr>
      <t xml:space="preserve">同上：残存価額は備忘価額</t>
    </r>
    <r>
      <rPr>
        <sz val="10"/>
        <color rgb="FF000000"/>
        <rFont val="Arial"/>
        <family val="0"/>
        <charset val="1"/>
      </rPr>
      <t xml:space="preserve">1</t>
    </r>
    <r>
      <rPr>
        <sz val="10"/>
        <color rgb="FF000000"/>
        <rFont val="WenQuanYi Zen Hei"/>
        <family val="2"/>
      </rPr>
      <t xml:space="preserve">円</t>
    </r>
  </si>
  <si>
    <t xml:space="preserve">運転手 年間給与（賞与・手当込）</t>
  </si>
  <si>
    <r>
      <rPr>
        <sz val="10"/>
        <color rgb="FF000000"/>
        <rFont val="WenQuanYi Zen Hei"/>
        <family val="2"/>
      </rPr>
      <t xml:space="preserve">円</t>
    </r>
    <r>
      <rPr>
        <sz val="10"/>
        <color rgb="FF000000"/>
        <rFont val="Arial"/>
        <family val="0"/>
        <charset val="1"/>
      </rPr>
      <t xml:space="preserve">/</t>
    </r>
    <r>
      <rPr>
        <sz val="10"/>
        <color rgb="FF000000"/>
        <rFont val="WenQuanYi Zen Hei"/>
        <family val="2"/>
      </rPr>
      <t xml:space="preserve">年</t>
    </r>
  </si>
  <si>
    <r>
      <rPr>
        <sz val="10"/>
        <color rgb="FF000000"/>
        <rFont val="WenQuanYi Zen Hei"/>
        <family val="2"/>
      </rPr>
      <t xml:space="preserve">岩手の大型ダンプ求人 日給</t>
    </r>
    <r>
      <rPr>
        <sz val="10"/>
        <color rgb="FF000000"/>
        <rFont val="Arial"/>
        <family val="0"/>
        <charset val="1"/>
      </rPr>
      <t xml:space="preserve">8,000</t>
    </r>
    <r>
      <rPr>
        <sz val="10"/>
        <color rgb="FF000000"/>
        <rFont val="WenQuanYi Zen Hei"/>
        <family val="2"/>
      </rPr>
      <t xml:space="preserve">〜</t>
    </r>
    <r>
      <rPr>
        <sz val="10"/>
        <color rgb="FF000000"/>
        <rFont val="Arial"/>
        <family val="0"/>
        <charset val="1"/>
      </rPr>
      <t xml:space="preserve">13,000</t>
    </r>
    <r>
      <rPr>
        <sz val="10"/>
        <color rgb="FF000000"/>
        <rFont val="WenQuanYi Zen Hei"/>
        <family val="2"/>
      </rPr>
      <t xml:space="preserve">円、月給</t>
    </r>
    <r>
      <rPr>
        <sz val="10"/>
        <color rgb="FF000000"/>
        <rFont val="Arial"/>
        <family val="0"/>
        <charset val="1"/>
      </rPr>
      <t xml:space="preserve">19</t>
    </r>
    <r>
      <rPr>
        <sz val="10"/>
        <color rgb="FF000000"/>
        <rFont val="WenQuanYi Zen Hei"/>
        <family val="2"/>
      </rPr>
      <t xml:space="preserve">〜</t>
    </r>
    <r>
      <rPr>
        <sz val="10"/>
        <color rgb="FF000000"/>
        <rFont val="Arial"/>
        <family val="0"/>
        <charset val="1"/>
      </rPr>
      <t xml:space="preserve">24</t>
    </r>
    <r>
      <rPr>
        <sz val="10"/>
        <color rgb="FF000000"/>
        <rFont val="WenQuanYi Zen Hei"/>
        <family val="2"/>
      </rPr>
      <t xml:space="preserve">万円＋賞与・残業を想定。自社実績で置換</t>
    </r>
  </si>
  <si>
    <t xml:space="preserve">法定福利費率（事業主負担）</t>
  </si>
  <si>
    <t xml:space="preserve">健保・厚年・雇用・労災・子ども子育て拠出金の事業主負担の概算</t>
  </si>
  <si>
    <t xml:space="preserve">自動車関係税（自動車税・重量税 年額）</t>
  </si>
  <si>
    <r>
      <rPr>
        <sz val="10"/>
        <color rgb="FF000000"/>
        <rFont val="WenQuanYi Zen Hei"/>
        <family val="2"/>
      </rPr>
      <t xml:space="preserve">営業用（緑ナンバー）</t>
    </r>
    <r>
      <rPr>
        <sz val="10"/>
        <color rgb="FF000000"/>
        <rFont val="Arial"/>
        <family val="0"/>
        <charset val="1"/>
      </rPr>
      <t xml:space="preserve">10t</t>
    </r>
    <r>
      <rPr>
        <sz val="10"/>
        <color rgb="FF000000"/>
        <rFont val="WenQuanYi Zen Hei"/>
        <family val="2"/>
      </rPr>
      <t xml:space="preserve">車の概算。車検証の車両総重量で要確認</t>
    </r>
  </si>
  <si>
    <t xml:space="preserve">保険料（自賠責＋任意 年額）</t>
  </si>
  <si>
    <t xml:space="preserve">対人対物無制限・車両保険なし程度の概算</t>
  </si>
  <si>
    <t xml:space="preserve">車検・整備・修理費（年額）</t>
  </si>
  <si>
    <t xml:space="preserve">タイヤ費（年額）</t>
  </si>
  <si>
    <r>
      <rPr>
        <sz val="10"/>
        <color rgb="FF000000"/>
        <rFont val="Arial"/>
        <family val="0"/>
        <charset val="1"/>
      </rPr>
      <t xml:space="preserve">10</t>
    </r>
    <r>
      <rPr>
        <sz val="10"/>
        <color rgb="FF000000"/>
        <rFont val="WenQuanYi Zen Hei"/>
        <family val="2"/>
      </rPr>
      <t xml:space="preserve">本</t>
    </r>
    <r>
      <rPr>
        <sz val="10"/>
        <color rgb="FF000000"/>
        <rFont val="Arial"/>
        <family val="0"/>
        <charset val="1"/>
      </rPr>
      <t xml:space="preserve">×</t>
    </r>
    <r>
      <rPr>
        <sz val="10"/>
        <color rgb="FF000000"/>
        <rFont val="WenQuanYi Zen Hei"/>
        <family val="2"/>
      </rPr>
      <t xml:space="preserve">約</t>
    </r>
    <r>
      <rPr>
        <sz val="10"/>
        <color rgb="FF000000"/>
        <rFont val="Arial"/>
        <family val="0"/>
        <charset val="1"/>
      </rPr>
      <t xml:space="preserve">6</t>
    </r>
    <r>
      <rPr>
        <sz val="10"/>
        <color rgb="FF000000"/>
        <rFont val="WenQuanYi Zen Hei"/>
        <family val="2"/>
      </rPr>
      <t xml:space="preserve">万円を</t>
    </r>
    <r>
      <rPr>
        <sz val="10"/>
        <color rgb="FF000000"/>
        <rFont val="Arial"/>
        <family val="0"/>
        <charset val="1"/>
      </rPr>
      <t xml:space="preserve">2</t>
    </r>
    <r>
      <rPr>
        <sz val="10"/>
        <color rgb="FF000000"/>
        <rFont val="WenQuanYi Zen Hei"/>
        <family val="2"/>
      </rPr>
      <t xml:space="preserve">年で交換程度</t>
    </r>
  </si>
  <si>
    <t xml:space="preserve">オイル・尿素水・雑費（年額）</t>
  </si>
  <si>
    <r>
      <rPr>
        <sz val="10"/>
        <color rgb="FF000000"/>
        <rFont val="Arial"/>
        <family val="0"/>
        <charset val="1"/>
      </rPr>
      <t xml:space="preserve">1</t>
    </r>
    <r>
      <rPr>
        <sz val="10"/>
        <color rgb="FF000000"/>
        <rFont val="WenQuanYi Zen Hei"/>
        <family val="2"/>
      </rPr>
      <t xml:space="preserve">日あたり燃料消費量</t>
    </r>
  </si>
  <si>
    <r>
      <rPr>
        <sz val="10"/>
        <color rgb="FF000000"/>
        <rFont val="Arial"/>
        <family val="0"/>
        <charset val="1"/>
      </rPr>
      <t xml:space="preserve">L/</t>
    </r>
    <r>
      <rPr>
        <sz val="10"/>
        <color rgb="FF000000"/>
        <rFont val="WenQuanYi Zen Hei"/>
        <family val="2"/>
      </rPr>
      <t xml:space="preserve">日</t>
    </r>
  </si>
  <si>
    <r>
      <rPr>
        <sz val="10"/>
        <color rgb="FF000000"/>
        <rFont val="WenQuanYi Zen Hei"/>
        <family val="2"/>
      </rPr>
      <t xml:space="preserve">標準的運賃の基礎走行</t>
    </r>
    <r>
      <rPr>
        <sz val="10"/>
        <color rgb="FF000000"/>
        <rFont val="Arial"/>
        <family val="0"/>
        <charset val="1"/>
      </rPr>
      <t xml:space="preserve">130km÷</t>
    </r>
    <r>
      <rPr>
        <sz val="10"/>
        <color rgb="FF000000"/>
        <rFont val="WenQuanYi Zen Hei"/>
        <family val="2"/>
      </rPr>
      <t xml:space="preserve">燃費約</t>
    </r>
    <r>
      <rPr>
        <sz val="10"/>
        <color rgb="FF000000"/>
        <rFont val="Arial"/>
        <family val="0"/>
        <charset val="1"/>
      </rPr>
      <t xml:space="preserve">3.5km/L≒37L </t>
    </r>
    <r>
      <rPr>
        <sz val="10"/>
        <color rgb="FF000000"/>
        <rFont val="WenQuanYi Zen Hei"/>
        <family val="2"/>
      </rPr>
      <t xml:space="preserve">と 積算基準の運転日当り約</t>
    </r>
    <r>
      <rPr>
        <sz val="10"/>
        <color rgb="FF000000"/>
        <rFont val="Arial"/>
        <family val="0"/>
        <charset val="1"/>
      </rPr>
      <t xml:space="preserve">58L </t>
    </r>
    <r>
      <rPr>
        <sz val="10"/>
        <color rgb="FF000000"/>
        <rFont val="WenQuanYi Zen Hei"/>
        <family val="2"/>
      </rPr>
      <t xml:space="preserve">の中間</t>
    </r>
  </si>
  <si>
    <t xml:space="preserve">一般管理費率（車庫・事務・通信等）</t>
  </si>
  <si>
    <t xml:space="preserve">標準的運賃の『間接費』相当</t>
  </si>
  <si>
    <t xml:space="preserve">適正利潤率</t>
  </si>
  <si>
    <r>
      <rPr>
        <b val="true"/>
        <sz val="10"/>
        <color rgb="FF000000"/>
        <rFont val="WenQuanYi Zen Hei"/>
        <family val="2"/>
      </rPr>
      <t xml:space="preserve">■ 方式</t>
    </r>
    <r>
      <rPr>
        <b val="true"/>
        <sz val="10"/>
        <color rgb="FF000000"/>
        <rFont val="Arial"/>
        <family val="0"/>
        <charset val="1"/>
      </rPr>
      <t xml:space="preserve">B</t>
    </r>
    <r>
      <rPr>
        <b val="true"/>
        <sz val="10"/>
        <color rgb="FF000000"/>
        <rFont val="WenQuanYi Zen Hei"/>
        <family val="2"/>
      </rPr>
      <t xml:space="preserve">：公共工事積算（土木工事標準積算基準の『ダンプトラック運転 運転</t>
    </r>
    <r>
      <rPr>
        <b val="true"/>
        <sz val="10"/>
        <color rgb="FF000000"/>
        <rFont val="Arial"/>
        <family val="0"/>
        <charset val="1"/>
      </rPr>
      <t xml:space="preserve">1</t>
    </r>
    <r>
      <rPr>
        <b val="true"/>
        <sz val="10"/>
        <color rgb="FF000000"/>
        <rFont val="WenQuanYi Zen Hei"/>
        <family val="2"/>
      </rPr>
      <t xml:space="preserve">日当り』構成）</t>
    </r>
  </si>
  <si>
    <t xml:space="preserve">運転手（一般）労務単価 岩手県</t>
  </si>
  <si>
    <r>
      <rPr>
        <sz val="10"/>
        <color rgb="FF000000"/>
        <rFont val="WenQuanYi Zen Hei"/>
        <family val="2"/>
      </rPr>
      <t xml:space="preserve">円</t>
    </r>
    <r>
      <rPr>
        <sz val="10"/>
        <color rgb="FF000000"/>
        <rFont val="Arial"/>
        <family val="0"/>
        <charset val="1"/>
      </rPr>
      <t xml:space="preserve">/</t>
    </r>
    <r>
      <rPr>
        <sz val="10"/>
        <color rgb="FF000000"/>
        <rFont val="WenQuanYi Zen Hei"/>
        <family val="2"/>
      </rPr>
      <t xml:space="preserve">人日</t>
    </r>
  </si>
  <si>
    <r>
      <rPr>
        <sz val="10"/>
        <color rgb="FF000000"/>
        <rFont val="WenQuanYi Zen Hei"/>
        <family val="2"/>
      </rPr>
      <t xml:space="preserve">公共工事設計労務単価 令和</t>
    </r>
    <r>
      <rPr>
        <sz val="10"/>
        <color rgb="FF000000"/>
        <rFont val="Arial"/>
        <family val="0"/>
        <charset val="1"/>
      </rPr>
      <t xml:space="preserve">8</t>
    </r>
    <r>
      <rPr>
        <sz val="10"/>
        <color rgb="FF000000"/>
        <rFont val="WenQuanYi Zen Hei"/>
        <family val="2"/>
      </rPr>
      <t xml:space="preserve">年</t>
    </r>
    <r>
      <rPr>
        <sz val="10"/>
        <color rgb="FF000000"/>
        <rFont val="Arial"/>
        <family val="0"/>
        <charset val="1"/>
      </rPr>
      <t xml:space="preserve">3</t>
    </r>
    <r>
      <rPr>
        <sz val="10"/>
        <color rgb="FF000000"/>
        <rFont val="WenQuanYi Zen Hei"/>
        <family val="2"/>
      </rPr>
      <t xml:space="preserve">月適用（農水省・国交省）岩手県 運転手（一般）。法定福利費の事業主負担は含まない</t>
    </r>
  </si>
  <si>
    <r>
      <rPr>
        <sz val="10"/>
        <color rgb="FF000000"/>
        <rFont val="WenQuanYi Zen Hei"/>
        <family val="2"/>
      </rPr>
      <t xml:space="preserve">運転日</t>
    </r>
    <r>
      <rPr>
        <sz val="10"/>
        <color rgb="FF000000"/>
        <rFont val="Arial"/>
        <family val="0"/>
        <charset val="1"/>
      </rPr>
      <t xml:space="preserve">1</t>
    </r>
    <r>
      <rPr>
        <sz val="10"/>
        <color rgb="FF000000"/>
        <rFont val="WenQuanYi Zen Hei"/>
        <family val="2"/>
      </rPr>
      <t xml:space="preserve">日あたり運転時間</t>
    </r>
  </si>
  <si>
    <r>
      <rPr>
        <sz val="10"/>
        <color rgb="FF000000"/>
        <rFont val="Arial"/>
        <family val="0"/>
        <charset val="1"/>
      </rPr>
      <t xml:space="preserve">h/</t>
    </r>
    <r>
      <rPr>
        <sz val="10"/>
        <color rgb="FF000000"/>
        <rFont val="WenQuanYi Zen Hei"/>
        <family val="2"/>
      </rPr>
      <t xml:space="preserve">日</t>
    </r>
  </si>
  <si>
    <r>
      <rPr>
        <sz val="10"/>
        <color rgb="FF000000"/>
        <rFont val="WenQuanYi Zen Hei"/>
        <family val="2"/>
      </rPr>
      <t xml:space="preserve">新潟県 機械損料一覧表 </t>
    </r>
    <r>
      <rPr>
        <sz val="10"/>
        <color rgb="FF000000"/>
        <rFont val="Arial"/>
        <family val="0"/>
        <charset val="1"/>
      </rPr>
      <t xml:space="preserve">10t</t>
    </r>
    <r>
      <rPr>
        <sz val="10"/>
        <color rgb="FF000000"/>
        <rFont val="WenQuanYi Zen Hei"/>
        <family val="2"/>
      </rPr>
      <t xml:space="preserve">積級（豪雪補正後）：年間運転</t>
    </r>
    <r>
      <rPr>
        <sz val="10"/>
        <color rgb="FF000000"/>
        <rFont val="Arial"/>
        <family val="0"/>
        <charset val="1"/>
      </rPr>
      <t xml:space="preserve">830h÷</t>
    </r>
    <r>
      <rPr>
        <sz val="10"/>
        <color rgb="FF000000"/>
        <rFont val="WenQuanYi Zen Hei"/>
        <family val="2"/>
      </rPr>
      <t xml:space="preserve">運転日数</t>
    </r>
    <r>
      <rPr>
        <sz val="10"/>
        <color rgb="FF000000"/>
        <rFont val="Arial"/>
        <family val="0"/>
        <charset val="1"/>
      </rPr>
      <t xml:space="preserve">140</t>
    </r>
    <r>
      <rPr>
        <sz val="10"/>
        <color rgb="FF000000"/>
        <rFont val="WenQuanYi Zen Hei"/>
        <family val="2"/>
      </rPr>
      <t xml:space="preserve">日。岩手</t>
    </r>
    <r>
      <rPr>
        <sz val="10"/>
        <color rgb="FF000000"/>
        <rFont val="Arial"/>
        <family val="0"/>
        <charset val="1"/>
      </rPr>
      <t xml:space="preserve">(B</t>
    </r>
    <r>
      <rPr>
        <sz val="10"/>
        <color rgb="FF000000"/>
        <rFont val="WenQuanYi Zen Hei"/>
        <family val="2"/>
      </rPr>
      <t xml:space="preserve">地区</t>
    </r>
    <r>
      <rPr>
        <sz val="10"/>
        <color rgb="FF000000"/>
        <rFont val="Arial"/>
        <family val="0"/>
        <charset val="1"/>
      </rPr>
      <t xml:space="preserve">)</t>
    </r>
    <r>
      <rPr>
        <sz val="10"/>
        <color rgb="FF000000"/>
        <rFont val="WenQuanYi Zen Hei"/>
        <family val="2"/>
      </rPr>
      <t xml:space="preserve">も同条件</t>
    </r>
  </si>
  <si>
    <t xml:space="preserve">機関出力</t>
  </si>
  <si>
    <t xml:space="preserve">kW</t>
  </si>
  <si>
    <r>
      <rPr>
        <sz val="10"/>
        <color rgb="FF000000"/>
        <rFont val="WenQuanYi Zen Hei"/>
        <family val="2"/>
      </rPr>
      <t xml:space="preserve">同上 </t>
    </r>
    <r>
      <rPr>
        <sz val="10"/>
        <color rgb="FF000000"/>
        <rFont val="Arial"/>
        <family val="0"/>
        <charset val="1"/>
      </rPr>
      <t xml:space="preserve">10t</t>
    </r>
    <r>
      <rPr>
        <sz val="10"/>
        <color rgb="FF000000"/>
        <rFont val="WenQuanYi Zen Hei"/>
        <family val="2"/>
      </rPr>
      <t xml:space="preserve">積級</t>
    </r>
  </si>
  <si>
    <t xml:space="preserve">燃料消費率</t>
  </si>
  <si>
    <t xml:space="preserve">L/kW·h</t>
  </si>
  <si>
    <r>
      <rPr>
        <sz val="10"/>
        <color rgb="FF000000"/>
        <rFont val="WenQuanYi Zen Hei"/>
        <family val="2"/>
      </rPr>
      <t xml:space="preserve">同上（運転</t>
    </r>
    <r>
      <rPr>
        <sz val="10"/>
        <color rgb="FF000000"/>
        <rFont val="Arial"/>
        <family val="0"/>
        <charset val="1"/>
      </rPr>
      <t xml:space="preserve">1</t>
    </r>
    <r>
      <rPr>
        <sz val="10"/>
        <color rgb="FF000000"/>
        <rFont val="WenQuanYi Zen Hei"/>
        <family val="2"/>
      </rPr>
      <t xml:space="preserve">時間当り燃料 </t>
    </r>
    <r>
      <rPr>
        <sz val="10"/>
        <color rgb="FF000000"/>
        <rFont val="Arial"/>
        <family val="0"/>
        <charset val="1"/>
      </rPr>
      <t xml:space="preserve">9.8L</t>
    </r>
    <r>
      <rPr>
        <sz val="10"/>
        <color rgb="FF000000"/>
        <rFont val="WenQuanYi Zen Hei"/>
        <family val="2"/>
      </rPr>
      <t xml:space="preserve">）</t>
    </r>
  </si>
  <si>
    <r>
      <rPr>
        <sz val="10"/>
        <color rgb="FF000000"/>
        <rFont val="WenQuanYi Zen Hei"/>
        <family val="2"/>
      </rPr>
      <t xml:space="preserve">供用</t>
    </r>
    <r>
      <rPr>
        <sz val="10"/>
        <color rgb="FF000000"/>
        <rFont val="Arial"/>
        <family val="0"/>
        <charset val="1"/>
      </rPr>
      <t xml:space="preserve">1</t>
    </r>
    <r>
      <rPr>
        <sz val="10"/>
        <color rgb="FF000000"/>
        <rFont val="WenQuanYi Zen Hei"/>
        <family val="2"/>
      </rPr>
      <t xml:space="preserve">日当り換算損料（タイヤ損耗・補修費込）</t>
    </r>
  </si>
  <si>
    <r>
      <rPr>
        <sz val="10"/>
        <color rgb="FF000000"/>
        <rFont val="WenQuanYi Zen Hei"/>
        <family val="2"/>
      </rPr>
      <t xml:space="preserve">円</t>
    </r>
    <r>
      <rPr>
        <sz val="10"/>
        <color rgb="FF000000"/>
        <rFont val="Arial"/>
        <family val="0"/>
        <charset val="1"/>
      </rPr>
      <t xml:space="preserve">/</t>
    </r>
    <r>
      <rPr>
        <sz val="10"/>
        <color rgb="FF000000"/>
        <rFont val="WenQuanYi Zen Hei"/>
        <family val="2"/>
      </rPr>
      <t xml:space="preserve">供用日</t>
    </r>
  </si>
  <si>
    <r>
      <rPr>
        <sz val="10"/>
        <color rgb="FF000000"/>
        <rFont val="WenQuanYi Zen Hei"/>
        <family val="2"/>
      </rPr>
      <t xml:space="preserve">新潟県農地部 機械損料一覧表</t>
    </r>
    <r>
      <rPr>
        <sz val="10"/>
        <color rgb="FF000000"/>
        <rFont val="Arial"/>
        <family val="0"/>
        <charset val="1"/>
      </rPr>
      <t xml:space="preserve">(R7.10.20</t>
    </r>
    <r>
      <rPr>
        <sz val="10"/>
        <color rgb="FF000000"/>
        <rFont val="WenQuanYi Zen Hei"/>
        <family val="2"/>
      </rPr>
      <t xml:space="preserve">適用</t>
    </r>
    <r>
      <rPr>
        <sz val="10"/>
        <color rgb="FF000000"/>
        <rFont val="Arial"/>
        <family val="0"/>
        <charset val="1"/>
      </rPr>
      <t xml:space="preserve">) MNS0301005</t>
    </r>
    <r>
      <rPr>
        <sz val="10"/>
        <color rgb="FF000000"/>
        <rFont val="WenQuanYi Zen Hei"/>
        <family val="2"/>
      </rPr>
      <t xml:space="preserve">（豪雪補正込・タイヤ損耗費及び補修費</t>
    </r>
    <r>
      <rPr>
        <sz val="10"/>
        <color rgb="FF000000"/>
        <rFont val="Arial"/>
        <family val="0"/>
        <charset val="1"/>
      </rPr>
      <t xml:space="preserve">(</t>
    </r>
    <r>
      <rPr>
        <sz val="10"/>
        <color rgb="FF000000"/>
        <rFont val="WenQuanYi Zen Hei"/>
        <family val="2"/>
      </rPr>
      <t xml:space="preserve">良好</t>
    </r>
    <r>
      <rPr>
        <sz val="10"/>
        <color rgb="FF000000"/>
        <rFont val="Arial"/>
        <family val="0"/>
        <charset val="1"/>
      </rPr>
      <t xml:space="preserve">)</t>
    </r>
    <r>
      <rPr>
        <sz val="10"/>
        <color rgb="FF000000"/>
        <rFont val="WenQuanYi Zen Hei"/>
        <family val="2"/>
      </rPr>
      <t xml:space="preserve">含む）。岩手県は独自の損料表を公表せず国交省『建設機械等損料表』を適用し、県内全市が豪雪</t>
    </r>
    <r>
      <rPr>
        <sz val="10"/>
        <color rgb="FF000000"/>
        <rFont val="Arial"/>
        <family val="0"/>
        <charset val="1"/>
      </rPr>
      <t xml:space="preserve">B</t>
    </r>
    <r>
      <rPr>
        <sz val="10"/>
        <color rgb="FF000000"/>
        <rFont val="WenQuanYi Zen Hei"/>
        <family val="2"/>
      </rPr>
      <t xml:space="preserve">地区（県積算基準 運用編 </t>
    </r>
    <r>
      <rPr>
        <sz val="10"/>
        <color rgb="FF000000"/>
        <rFont val="Arial"/>
        <family val="0"/>
        <charset val="1"/>
      </rPr>
      <t xml:space="preserve">R8.10</t>
    </r>
    <r>
      <rPr>
        <sz val="10"/>
        <color rgb="FF000000"/>
        <rFont val="WenQuanYi Zen Hei"/>
        <family val="2"/>
      </rPr>
      <t xml:space="preserve">）→豪雪補正込の本値と同じ扱い。令和</t>
    </r>
    <r>
      <rPr>
        <sz val="10"/>
        <color rgb="FF000000"/>
        <rFont val="Arial"/>
        <family val="0"/>
        <charset val="1"/>
      </rPr>
      <t xml:space="preserve">8</t>
    </r>
    <r>
      <rPr>
        <sz val="10"/>
        <color rgb="FF000000"/>
        <rFont val="WenQuanYi Zen Hei"/>
        <family val="2"/>
      </rPr>
      <t xml:space="preserve">年度版の値は市販本（日本建設機械施工協会、</t>
    </r>
    <r>
      <rPr>
        <sz val="10"/>
        <color rgb="FF000000"/>
        <rFont val="Arial"/>
        <family val="0"/>
        <charset val="1"/>
      </rPr>
      <t xml:space="preserve">11,000</t>
    </r>
    <r>
      <rPr>
        <sz val="10"/>
        <color rgb="FF000000"/>
        <rFont val="WenQuanYi Zen Hei"/>
        <family val="2"/>
      </rPr>
      <t xml:space="preserve">円）で確認し置換</t>
    </r>
  </si>
  <si>
    <t xml:space="preserve">年間供用日数</t>
  </si>
  <si>
    <t xml:space="preserve">日</t>
  </si>
  <si>
    <t xml:space="preserve">同上</t>
  </si>
  <si>
    <t xml:space="preserve">年間運転日数</t>
  </si>
  <si>
    <t xml:space="preserve">諸経費率（現場管理費＋一般管理費 相当）</t>
  </si>
  <si>
    <t xml:space="preserve">法定福利費・会社経費・利益を簡易に一括計上する率</t>
  </si>
  <si>
    <r>
      <rPr>
        <b val="true"/>
        <sz val="10"/>
        <color rgb="FF000000"/>
        <rFont val="WenQuanYi Zen Hei"/>
        <family val="2"/>
      </rPr>
      <t xml:space="preserve">■ 比較用：国交省『標準的な運賃』（令和</t>
    </r>
    <r>
      <rPr>
        <b val="true"/>
        <sz val="10"/>
        <color rgb="FF000000"/>
        <rFont val="Arial"/>
        <family val="0"/>
        <charset val="1"/>
      </rPr>
      <t xml:space="preserve">6</t>
    </r>
    <r>
      <rPr>
        <b val="true"/>
        <sz val="10"/>
        <color rgb="FF000000"/>
        <rFont val="WenQuanYi Zen Hei"/>
        <family val="2"/>
      </rPr>
      <t xml:space="preserve">年</t>
    </r>
    <r>
      <rPr>
        <b val="true"/>
        <sz val="10"/>
        <color rgb="FF000000"/>
        <rFont val="Arial"/>
        <family val="0"/>
        <charset val="1"/>
      </rPr>
      <t xml:space="preserve">3</t>
    </r>
    <r>
      <rPr>
        <b val="true"/>
        <sz val="10"/>
        <color rgb="FF000000"/>
        <rFont val="WenQuanYi Zen Hei"/>
        <family val="2"/>
      </rPr>
      <t xml:space="preserve">月告示）</t>
    </r>
  </si>
  <si>
    <r>
      <rPr>
        <sz val="10"/>
        <color rgb="FF000000"/>
        <rFont val="WenQuanYi Zen Hei"/>
        <family val="2"/>
      </rPr>
      <t xml:space="preserve">東北 大型車</t>
    </r>
    <r>
      <rPr>
        <sz val="10"/>
        <color rgb="FF000000"/>
        <rFont val="Arial"/>
        <family val="0"/>
        <charset val="1"/>
      </rPr>
      <t xml:space="preserve">(10t) 8</t>
    </r>
    <r>
      <rPr>
        <sz val="10"/>
        <color rgb="FF000000"/>
        <rFont val="WenQuanYi Zen Hei"/>
        <family val="2"/>
      </rPr>
      <t xml:space="preserve">時間制 基礎額</t>
    </r>
  </si>
  <si>
    <r>
      <rPr>
        <sz val="10"/>
        <color rgb="FF000000"/>
        <rFont val="WenQuanYi Zen Hei"/>
        <family val="2"/>
      </rPr>
      <t xml:space="preserve">全日本トラック協会『標準的運賃が改定されました』時間制運賃表（基礎走行</t>
    </r>
    <r>
      <rPr>
        <sz val="10"/>
        <color rgb="FF000000"/>
        <rFont val="Arial"/>
        <family val="0"/>
        <charset val="1"/>
      </rPr>
      <t xml:space="preserve">130km</t>
    </r>
    <r>
      <rPr>
        <sz val="10"/>
        <color rgb="FF000000"/>
        <rFont val="WenQuanYi Zen Hei"/>
        <family val="2"/>
      </rPr>
      <t xml:space="preserve">・作業</t>
    </r>
    <r>
      <rPr>
        <sz val="10"/>
        <color rgb="FF000000"/>
        <rFont val="Arial"/>
        <family val="0"/>
        <charset val="1"/>
      </rPr>
      <t xml:space="preserve">8</t>
    </r>
    <r>
      <rPr>
        <sz val="10"/>
        <color rgb="FF000000"/>
        <rFont val="WenQuanYi Zen Hei"/>
        <family val="2"/>
      </rPr>
      <t xml:space="preserve">時間以内）</t>
    </r>
  </si>
  <si>
    <t xml:space="preserve">ダンプ車 特殊車両割増率</t>
  </si>
  <si>
    <r>
      <rPr>
        <sz val="10"/>
        <color rgb="FF000000"/>
        <rFont val="WenQuanYi Zen Hei"/>
        <family val="2"/>
      </rPr>
      <t xml:space="preserve">同上【特殊車両割増】ダンプ車：大型車の</t>
    </r>
    <r>
      <rPr>
        <sz val="10"/>
        <color rgb="FF000000"/>
        <rFont val="Arial"/>
        <family val="0"/>
        <charset val="1"/>
      </rPr>
      <t xml:space="preserve">2</t>
    </r>
    <r>
      <rPr>
        <sz val="10"/>
        <color rgb="FF000000"/>
        <rFont val="WenQuanYi Zen Hei"/>
        <family val="2"/>
      </rPr>
      <t xml:space="preserve">割</t>
    </r>
  </si>
  <si>
    <r>
      <rPr>
        <sz val="10"/>
        <color rgb="FF000000"/>
        <rFont val="WenQuanYi Zen Hei"/>
        <family val="2"/>
      </rPr>
      <t xml:space="preserve">超過</t>
    </r>
    <r>
      <rPr>
        <sz val="10"/>
        <color rgb="FF000000"/>
        <rFont val="Arial"/>
        <family val="0"/>
        <charset val="1"/>
      </rPr>
      <t xml:space="preserve">1</t>
    </r>
    <r>
      <rPr>
        <sz val="10"/>
        <color rgb="FF000000"/>
        <rFont val="WenQuanYi Zen Hei"/>
        <family val="2"/>
      </rPr>
      <t xml:space="preserve">時間あたり加算額（東北・大型）</t>
    </r>
  </si>
  <si>
    <r>
      <rPr>
        <sz val="10"/>
        <color rgb="FF000000"/>
        <rFont val="WenQuanYi Zen Hei"/>
        <family val="2"/>
      </rPr>
      <t xml:space="preserve">円</t>
    </r>
    <r>
      <rPr>
        <sz val="10"/>
        <color rgb="FF000000"/>
        <rFont val="Arial"/>
        <family val="0"/>
        <charset val="1"/>
      </rPr>
      <t xml:space="preserve">/h</t>
    </r>
  </si>
  <si>
    <r>
      <rPr>
        <sz val="10"/>
        <color rgb="FF000000"/>
        <rFont val="WenQuanYi Zen Hei"/>
        <family val="2"/>
      </rPr>
      <t xml:space="preserve">超過</t>
    </r>
    <r>
      <rPr>
        <sz val="10"/>
        <color rgb="FF000000"/>
        <rFont val="Arial"/>
        <family val="0"/>
        <charset val="1"/>
      </rPr>
      <t xml:space="preserve">10km</t>
    </r>
    <r>
      <rPr>
        <sz val="10"/>
        <color rgb="FF000000"/>
        <rFont val="WenQuanYi Zen Hei"/>
        <family val="2"/>
      </rPr>
      <t xml:space="preserve">あたり加算額（東北・大型）</t>
    </r>
  </si>
  <si>
    <r>
      <rPr>
        <sz val="10"/>
        <color rgb="FF000000"/>
        <rFont val="WenQuanYi Zen Hei"/>
        <family val="2"/>
      </rPr>
      <t xml:space="preserve">円</t>
    </r>
    <r>
      <rPr>
        <sz val="10"/>
        <color rgb="FF000000"/>
        <rFont val="Arial"/>
        <family val="0"/>
        <charset val="1"/>
      </rPr>
      <t xml:space="preserve">/10km</t>
    </r>
  </si>
  <si>
    <r>
      <rPr>
        <b val="true"/>
        <sz val="13"/>
        <color rgb="FF000000"/>
        <rFont val="WenQuanYi Zen Hei"/>
        <family val="2"/>
      </rPr>
      <t xml:space="preserve">方式</t>
    </r>
    <r>
      <rPr>
        <b val="true"/>
        <sz val="13"/>
        <color rgb="FF000000"/>
        <rFont val="Arial"/>
        <family val="0"/>
        <charset val="1"/>
      </rPr>
      <t xml:space="preserve">A</t>
    </r>
    <r>
      <rPr>
        <b val="true"/>
        <sz val="13"/>
        <color rgb="FF000000"/>
        <rFont val="WenQuanYi Zen Hei"/>
        <family val="2"/>
      </rPr>
      <t xml:space="preserve">：運送事業者の原価から見た </t>
    </r>
    <r>
      <rPr>
        <b val="true"/>
        <sz val="13"/>
        <color rgb="FF000000"/>
        <rFont val="Arial"/>
        <family val="0"/>
        <charset val="1"/>
      </rPr>
      <t xml:space="preserve">10t</t>
    </r>
    <r>
      <rPr>
        <b val="true"/>
        <sz val="13"/>
        <color rgb="FF000000"/>
        <rFont val="WenQuanYi Zen Hei"/>
        <family val="2"/>
      </rPr>
      <t xml:space="preserve">ダンプ（運転手付）</t>
    </r>
    <r>
      <rPr>
        <b val="true"/>
        <sz val="13"/>
        <color rgb="FF000000"/>
        <rFont val="Arial"/>
        <family val="0"/>
        <charset val="1"/>
      </rPr>
      <t xml:space="preserve">1</t>
    </r>
    <r>
      <rPr>
        <b val="true"/>
        <sz val="13"/>
        <color rgb="FF000000"/>
        <rFont val="WenQuanYi Zen Hei"/>
        <family val="2"/>
      </rPr>
      <t xml:space="preserve">日あたり原価</t>
    </r>
  </si>
  <si>
    <t xml:space="preserve">国交省『標準的な運賃』の原価項目（固定費・変動費・間接費・利潤）に沿って年間費用を積み上げ、稼働日数で割る。</t>
  </si>
  <si>
    <t xml:space="preserve">費目</t>
  </si>
  <si>
    <t xml:space="preserve">年額（円）</t>
  </si>
  <si>
    <r>
      <rPr>
        <b val="true"/>
        <sz val="10"/>
        <color rgb="FF000000"/>
        <rFont val="Arial"/>
        <family val="0"/>
        <charset val="1"/>
      </rPr>
      <t xml:space="preserve">1</t>
    </r>
    <r>
      <rPr>
        <b val="true"/>
        <sz val="10"/>
        <color rgb="FF000000"/>
        <rFont val="WenQuanYi Zen Hei"/>
        <family val="2"/>
      </rPr>
      <t xml:space="preserve">日あたり（円）</t>
    </r>
  </si>
  <si>
    <t xml:space="preserve">構成比</t>
  </si>
  <si>
    <t xml:space="preserve">計算式・備考</t>
  </si>
  <si>
    <t xml:space="preserve">固定費</t>
  </si>
  <si>
    <t xml:space="preserve">車両償却費</t>
  </si>
  <si>
    <r>
      <rPr>
        <sz val="11"/>
        <color theme="1"/>
        <rFont val="Arial"/>
        <family val="0"/>
        <charset val="1"/>
      </rPr>
      <t xml:space="preserve">(</t>
    </r>
    <r>
      <rPr>
        <sz val="11"/>
        <color theme="1"/>
        <rFont val="WenQuanYi Zen Hei"/>
        <family val="2"/>
      </rPr>
      <t xml:space="preserve">取得価格−残存価額</t>
    </r>
    <r>
      <rPr>
        <sz val="11"/>
        <color theme="1"/>
        <rFont val="Arial"/>
        <family val="0"/>
        <charset val="1"/>
      </rPr>
      <t xml:space="preserve">)÷</t>
    </r>
    <r>
      <rPr>
        <sz val="11"/>
        <color theme="1"/>
        <rFont val="WenQuanYi Zen Hei"/>
        <family val="2"/>
      </rPr>
      <t xml:space="preserve">償却年数</t>
    </r>
  </si>
  <si>
    <t xml:space="preserve">運転手 人件費（給与）</t>
  </si>
  <si>
    <t xml:space="preserve">年間給与</t>
  </si>
  <si>
    <t xml:space="preserve">法定福利費（事業主負担）</t>
  </si>
  <si>
    <r>
      <rPr>
        <sz val="11"/>
        <color theme="1"/>
        <rFont val="WenQuanYi Zen Hei"/>
        <family val="2"/>
      </rPr>
      <t xml:space="preserve">給与</t>
    </r>
    <r>
      <rPr>
        <sz val="11"/>
        <color theme="1"/>
        <rFont val="Arial"/>
        <family val="0"/>
        <charset val="1"/>
      </rPr>
      <t xml:space="preserve">×</t>
    </r>
    <r>
      <rPr>
        <sz val="11"/>
        <color theme="1"/>
        <rFont val="WenQuanYi Zen Hei"/>
        <family val="2"/>
      </rPr>
      <t xml:space="preserve">法定福利費率</t>
    </r>
  </si>
  <si>
    <t xml:space="preserve">自動車関係税</t>
  </si>
  <si>
    <t xml:space="preserve">保険料</t>
  </si>
  <si>
    <t xml:space="preserve">準変動費</t>
  </si>
  <si>
    <t xml:space="preserve">車検・整備・修理費</t>
  </si>
  <si>
    <t xml:space="preserve">タイヤ費</t>
  </si>
  <si>
    <t xml:space="preserve">オイル・尿素水・雑費</t>
  </si>
  <si>
    <t xml:space="preserve">変動費</t>
  </si>
  <si>
    <t xml:space="preserve">燃料費</t>
  </si>
  <si>
    <r>
      <rPr>
        <sz val="11"/>
        <color theme="1"/>
        <rFont val="WenQuanYi Zen Hei"/>
        <family val="2"/>
      </rPr>
      <t xml:space="preserve">燃料</t>
    </r>
    <r>
      <rPr>
        <sz val="11"/>
        <color theme="1"/>
        <rFont val="Arial"/>
        <family val="0"/>
        <charset val="1"/>
      </rPr>
      <t xml:space="preserve">L/</t>
    </r>
    <r>
      <rPr>
        <sz val="11"/>
        <color theme="1"/>
        <rFont val="WenQuanYi Zen Hei"/>
        <family val="2"/>
      </rPr>
      <t xml:space="preserve">日</t>
    </r>
    <r>
      <rPr>
        <sz val="11"/>
        <color theme="1"/>
        <rFont val="Arial"/>
        <family val="0"/>
        <charset val="1"/>
      </rPr>
      <t xml:space="preserve">×</t>
    </r>
    <r>
      <rPr>
        <sz val="11"/>
        <color theme="1"/>
        <rFont val="WenQuanYi Zen Hei"/>
        <family val="2"/>
      </rPr>
      <t xml:space="preserve">軽油税抜単価</t>
    </r>
    <r>
      <rPr>
        <sz val="11"/>
        <color theme="1"/>
        <rFont val="Arial"/>
        <family val="0"/>
        <charset val="1"/>
      </rPr>
      <t xml:space="preserve">×</t>
    </r>
    <r>
      <rPr>
        <sz val="11"/>
        <color theme="1"/>
        <rFont val="WenQuanYi Zen Hei"/>
        <family val="2"/>
      </rPr>
      <t xml:space="preserve">稼働日数</t>
    </r>
  </si>
  <si>
    <t xml:space="preserve">運送原価 小計</t>
  </si>
  <si>
    <t xml:space="preserve">間接費</t>
  </si>
  <si>
    <t xml:space="preserve">一般管理費</t>
  </si>
  <si>
    <r>
      <rPr>
        <sz val="11"/>
        <color theme="1"/>
        <rFont val="WenQuanYi Zen Hei"/>
        <family val="2"/>
      </rPr>
      <t xml:space="preserve">小計</t>
    </r>
    <r>
      <rPr>
        <sz val="11"/>
        <color theme="1"/>
        <rFont val="Arial"/>
        <family val="0"/>
        <charset val="1"/>
      </rPr>
      <t xml:space="preserve">×</t>
    </r>
    <r>
      <rPr>
        <sz val="11"/>
        <color theme="1"/>
        <rFont val="WenQuanYi Zen Hei"/>
        <family val="2"/>
      </rPr>
      <t xml:space="preserve">一般管理費率</t>
    </r>
  </si>
  <si>
    <t xml:space="preserve">利潤</t>
  </si>
  <si>
    <t xml:space="preserve">適正利潤</t>
  </si>
  <si>
    <r>
      <rPr>
        <sz val="11"/>
        <color theme="1"/>
        <rFont val="Arial"/>
        <family val="0"/>
        <charset val="1"/>
      </rPr>
      <t xml:space="preserve">(</t>
    </r>
    <r>
      <rPr>
        <sz val="11"/>
        <color theme="1"/>
        <rFont val="WenQuanYi Zen Hei"/>
        <family val="2"/>
      </rPr>
      <t xml:space="preserve">小計＋一般管理費</t>
    </r>
    <r>
      <rPr>
        <sz val="11"/>
        <color theme="1"/>
        <rFont val="Arial"/>
        <family val="0"/>
        <charset val="1"/>
      </rPr>
      <t xml:space="preserve">)×</t>
    </r>
    <r>
      <rPr>
        <sz val="11"/>
        <color theme="1"/>
        <rFont val="WenQuanYi Zen Hei"/>
        <family val="2"/>
      </rPr>
      <t xml:space="preserve">利潤率</t>
    </r>
  </si>
  <si>
    <r>
      <rPr>
        <sz val="11"/>
        <color theme="1"/>
        <rFont val="WenQuanYi Zen Hei"/>
        <family val="2"/>
      </rPr>
      <t xml:space="preserve">合計（税抜）＝</t>
    </r>
    <r>
      <rPr>
        <sz val="11"/>
        <color theme="1"/>
        <rFont val="Arial"/>
        <family val="0"/>
        <charset val="1"/>
      </rPr>
      <t xml:space="preserve">1</t>
    </r>
    <r>
      <rPr>
        <sz val="11"/>
        <color theme="1"/>
        <rFont val="WenQuanYi Zen Hei"/>
        <family val="2"/>
      </rPr>
      <t xml:space="preserve">日あたり適正料金の目安</t>
    </r>
  </si>
  <si>
    <t xml:space="preserve">参考：税込</t>
  </si>
  <si>
    <t xml:space="preserve">注記</t>
  </si>
  <si>
    <r>
      <rPr>
        <sz val="10"/>
        <color rgb="FF000000"/>
        <rFont val="WenQuanYi Zen Hei"/>
        <family val="2"/>
      </rPr>
      <t xml:space="preserve">・稼働日数・車両価格・給与が結果を大きく左右する（『比較・感度』シート参照）。償却が終わった車両なら</t>
    </r>
    <r>
      <rPr>
        <sz val="10"/>
        <color rgb="FF000000"/>
        <rFont val="Arial"/>
        <family val="0"/>
        <charset val="1"/>
      </rPr>
      <t xml:space="preserve">1</t>
    </r>
    <r>
      <rPr>
        <sz val="10"/>
        <color rgb="FF000000"/>
        <rFont val="WenQuanYi Zen Hei"/>
        <family val="2"/>
      </rPr>
      <t xml:space="preserve">日あたり約</t>
    </r>
    <r>
      <rPr>
        <sz val="10"/>
        <color rgb="FF000000"/>
        <rFont val="Arial"/>
        <family val="0"/>
        <charset val="1"/>
      </rPr>
      <t xml:space="preserve">1.8</t>
    </r>
    <r>
      <rPr>
        <sz val="10"/>
        <color rgb="FF000000"/>
        <rFont val="WenQuanYi Zen Hei"/>
        <family val="2"/>
      </rPr>
      <t xml:space="preserve">万円下がる。車両価格</t>
    </r>
    <r>
      <rPr>
        <sz val="10"/>
        <color rgb="FF000000"/>
        <rFont val="Arial"/>
        <family val="0"/>
        <charset val="1"/>
      </rPr>
      <t xml:space="preserve">100</t>
    </r>
    <r>
      <rPr>
        <sz val="10"/>
        <color rgb="FF000000"/>
        <rFont val="WenQuanYi Zen Hei"/>
        <family val="2"/>
      </rPr>
      <t xml:space="preserve">万円ごとに</t>
    </r>
    <r>
      <rPr>
        <sz val="10"/>
        <color rgb="FF000000"/>
        <rFont val="Arial"/>
        <family val="0"/>
        <charset val="1"/>
      </rPr>
      <t xml:space="preserve">1</t>
    </r>
    <r>
      <rPr>
        <sz val="10"/>
        <color rgb="FF000000"/>
        <rFont val="WenQuanYi Zen Hei"/>
        <family val="2"/>
      </rPr>
      <t xml:space="preserve">日約</t>
    </r>
    <r>
      <rPr>
        <sz val="10"/>
        <color rgb="FF000000"/>
        <rFont val="Arial"/>
        <family val="0"/>
        <charset val="1"/>
      </rPr>
      <t xml:space="preserve">920</t>
    </r>
    <r>
      <rPr>
        <sz val="10"/>
        <color rgb="FF000000"/>
        <rFont val="WenQuanYi Zen Hei"/>
        <family val="2"/>
      </rPr>
      <t xml:space="preserve">円変動。</t>
    </r>
  </si>
  <si>
    <r>
      <rPr>
        <sz val="10"/>
        <color rgb="FF000000"/>
        <rFont val="WenQuanYi Zen Hei"/>
        <family val="2"/>
      </rPr>
      <t xml:space="preserve">・高速代、残土処分費、積込機械、時間外（</t>
    </r>
    <r>
      <rPr>
        <sz val="10"/>
        <color rgb="FF000000"/>
        <rFont val="Arial"/>
        <family val="0"/>
        <charset val="1"/>
      </rPr>
      <t xml:space="preserve">8</t>
    </r>
    <r>
      <rPr>
        <sz val="10"/>
        <color rgb="FF000000"/>
        <rFont val="WenQuanYi Zen Hei"/>
        <family val="2"/>
      </rPr>
      <t xml:space="preserve">時間超）、深夜・休日割増は含まない。</t>
    </r>
  </si>
  <si>
    <t xml:space="preserve">・運転手付きで他者の荷物を有償運搬するには一般貨物自動車運送事業（緑ナンバー）の許可が必要。</t>
  </si>
  <si>
    <r>
      <rPr>
        <b val="true"/>
        <sz val="13"/>
        <color rgb="FF000000"/>
        <rFont val="WenQuanYi Zen Hei"/>
        <family val="2"/>
      </rPr>
      <t xml:space="preserve">方式</t>
    </r>
    <r>
      <rPr>
        <b val="true"/>
        <sz val="13"/>
        <color rgb="FF000000"/>
        <rFont val="Arial"/>
        <family val="0"/>
        <charset val="1"/>
      </rPr>
      <t xml:space="preserve">B</t>
    </r>
    <r>
      <rPr>
        <b val="true"/>
        <sz val="13"/>
        <color rgb="FF000000"/>
        <rFont val="WenQuanYi Zen Hei"/>
        <family val="2"/>
      </rPr>
      <t xml:space="preserve">：公共工事積算の構成で見た </t>
    </r>
    <r>
      <rPr>
        <b val="true"/>
        <sz val="13"/>
        <color rgb="FF000000"/>
        <rFont val="Arial"/>
        <family val="0"/>
        <charset val="1"/>
      </rPr>
      <t xml:space="preserve">10t</t>
    </r>
    <r>
      <rPr>
        <b val="true"/>
        <sz val="13"/>
        <color rgb="FF000000"/>
        <rFont val="WenQuanYi Zen Hei"/>
        <family val="2"/>
      </rPr>
      <t xml:space="preserve">ダンプ（運転手付）運転</t>
    </r>
    <r>
      <rPr>
        <b val="true"/>
        <sz val="13"/>
        <color rgb="FF000000"/>
        <rFont val="Arial"/>
        <family val="0"/>
        <charset val="1"/>
      </rPr>
      <t xml:space="preserve">1</t>
    </r>
    <r>
      <rPr>
        <b val="true"/>
        <sz val="13"/>
        <color rgb="FF000000"/>
        <rFont val="WenQuanYi Zen Hei"/>
        <family val="2"/>
      </rPr>
      <t xml:space="preserve">日あたり単価</t>
    </r>
  </si>
  <si>
    <r>
      <rPr>
        <sz val="10"/>
        <color rgb="FF555555"/>
        <rFont val="WenQuanYi Zen Hei"/>
        <family val="2"/>
      </rPr>
      <t xml:space="preserve">土木工事標準積算基準『ダンプトラック運転（</t>
    </r>
    <r>
      <rPr>
        <sz val="10"/>
        <color rgb="FF555555"/>
        <rFont val="Arial"/>
        <family val="0"/>
        <charset val="1"/>
      </rPr>
      <t xml:space="preserve">10t</t>
    </r>
    <r>
      <rPr>
        <sz val="10"/>
        <color rgb="FF555555"/>
        <rFont val="WenQuanYi Zen Hei"/>
        <family val="2"/>
      </rPr>
      <t xml:space="preserve">積級）運転</t>
    </r>
    <r>
      <rPr>
        <sz val="10"/>
        <color rgb="FF555555"/>
        <rFont val="Arial"/>
        <family val="0"/>
        <charset val="1"/>
      </rPr>
      <t xml:space="preserve">1</t>
    </r>
    <r>
      <rPr>
        <sz val="10"/>
        <color rgb="FF555555"/>
        <rFont val="WenQuanYi Zen Hei"/>
        <family val="2"/>
      </rPr>
      <t xml:space="preserve">日当り単価表』の構成：運転手（一般）＋燃料（軽油）＋機械損料（タイヤ損耗費込）。</t>
    </r>
  </si>
  <si>
    <t xml:space="preserve">名称</t>
  </si>
  <si>
    <t xml:space="preserve">数量</t>
  </si>
  <si>
    <t xml:space="preserve">単価（円）</t>
  </si>
  <si>
    <t xml:space="preserve">金額（円）</t>
  </si>
  <si>
    <t xml:space="preserve">備考</t>
  </si>
  <si>
    <t xml:space="preserve">運転手（一般）</t>
  </si>
  <si>
    <t xml:space="preserve">人</t>
  </si>
  <si>
    <r>
      <rPr>
        <sz val="10"/>
        <color rgb="FF000000"/>
        <rFont val="WenQuanYi Zen Hei"/>
        <family val="2"/>
      </rPr>
      <t xml:space="preserve">岩手県 令和</t>
    </r>
    <r>
      <rPr>
        <sz val="10"/>
        <color rgb="FF000000"/>
        <rFont val="Arial"/>
        <family val="0"/>
        <charset val="1"/>
      </rPr>
      <t xml:space="preserve">8</t>
    </r>
    <r>
      <rPr>
        <sz val="10"/>
        <color rgb="FF000000"/>
        <rFont val="WenQuanYi Zen Hei"/>
        <family val="2"/>
      </rPr>
      <t xml:space="preserve">年</t>
    </r>
    <r>
      <rPr>
        <sz val="10"/>
        <color rgb="FF000000"/>
        <rFont val="Arial"/>
        <family val="0"/>
        <charset val="1"/>
      </rPr>
      <t xml:space="preserve">3</t>
    </r>
    <r>
      <rPr>
        <sz val="10"/>
        <color rgb="FF000000"/>
        <rFont val="WenQuanYi Zen Hei"/>
        <family val="2"/>
      </rPr>
      <t xml:space="preserve">月適用 労務単価</t>
    </r>
  </si>
  <si>
    <t xml:space="preserve">軽油</t>
  </si>
  <si>
    <t xml:space="preserve">L</t>
  </si>
  <si>
    <r>
      <rPr>
        <sz val="10"/>
        <color rgb="FF000000"/>
        <rFont val="WenQuanYi Zen Hei"/>
        <family val="2"/>
      </rPr>
      <t xml:space="preserve">出力</t>
    </r>
    <r>
      <rPr>
        <sz val="10"/>
        <color rgb="FF000000"/>
        <rFont val="Arial"/>
        <family val="0"/>
        <charset val="1"/>
      </rPr>
      <t xml:space="preserve">×</t>
    </r>
    <r>
      <rPr>
        <sz val="10"/>
        <color rgb="FF000000"/>
        <rFont val="WenQuanYi Zen Hei"/>
        <family val="2"/>
      </rPr>
      <t xml:space="preserve">消費率</t>
    </r>
    <r>
      <rPr>
        <sz val="10"/>
        <color rgb="FF000000"/>
        <rFont val="Arial"/>
        <family val="0"/>
        <charset val="1"/>
      </rPr>
      <t xml:space="preserve">×</t>
    </r>
    <r>
      <rPr>
        <sz val="10"/>
        <color rgb="FF000000"/>
        <rFont val="WenQuanYi Zen Hei"/>
        <family val="2"/>
      </rPr>
      <t xml:space="preserve">運転時間（≒</t>
    </r>
    <r>
      <rPr>
        <sz val="10"/>
        <color rgb="FF000000"/>
        <rFont val="Arial"/>
        <family val="0"/>
        <charset val="1"/>
      </rPr>
      <t xml:space="preserve">58L</t>
    </r>
    <r>
      <rPr>
        <sz val="10"/>
        <color rgb="FF000000"/>
        <rFont val="WenQuanYi Zen Hei"/>
        <family val="2"/>
      </rPr>
      <t xml:space="preserve">）</t>
    </r>
  </si>
  <si>
    <t xml:space="preserve">ダンプトラック損料（タイヤ損耗費込）</t>
  </si>
  <si>
    <t xml:space="preserve">供用日</t>
  </si>
  <si>
    <r>
      <rPr>
        <sz val="10"/>
        <color rgb="FF000000"/>
        <rFont val="WenQuanYi Zen Hei"/>
        <family val="2"/>
      </rPr>
      <t xml:space="preserve">運転</t>
    </r>
    <r>
      <rPr>
        <sz val="10"/>
        <color rgb="FF000000"/>
        <rFont val="Arial"/>
        <family val="0"/>
        <charset val="1"/>
      </rPr>
      <t xml:space="preserve">1</t>
    </r>
    <r>
      <rPr>
        <sz val="10"/>
        <color rgb="FF000000"/>
        <rFont val="WenQuanYi Zen Hei"/>
        <family val="2"/>
      </rPr>
      <t xml:space="preserve">日あたり供用日数＝供用日数</t>
    </r>
    <r>
      <rPr>
        <sz val="10"/>
        <color rgb="FF000000"/>
        <rFont val="Arial"/>
        <family val="0"/>
        <charset val="1"/>
      </rPr>
      <t xml:space="preserve">÷</t>
    </r>
    <r>
      <rPr>
        <sz val="10"/>
        <color rgb="FF000000"/>
        <rFont val="WenQuanYi Zen Hei"/>
        <family val="2"/>
      </rPr>
      <t xml:space="preserve">運転日数</t>
    </r>
  </si>
  <si>
    <t xml:space="preserve">直接費 小計</t>
  </si>
  <si>
    <t xml:space="preserve">諸経費（法定福利費・会社経費・利益 相当）</t>
  </si>
  <si>
    <r>
      <rPr>
        <sz val="10"/>
        <color rgb="FF000000"/>
        <rFont val="WenQuanYi Zen Hei"/>
        <family val="2"/>
      </rPr>
      <t xml:space="preserve">直接費</t>
    </r>
    <r>
      <rPr>
        <sz val="10"/>
        <color rgb="FF000000"/>
        <rFont val="Arial"/>
        <family val="0"/>
        <charset val="1"/>
      </rPr>
      <t xml:space="preserve">×</t>
    </r>
    <r>
      <rPr>
        <sz val="10"/>
        <color rgb="FF000000"/>
        <rFont val="WenQuanYi Zen Hei"/>
        <family val="2"/>
      </rPr>
      <t xml:space="preserve">諸経費率（簡易）</t>
    </r>
  </si>
  <si>
    <t xml:space="preserve">合計（税抜）</t>
  </si>
  <si>
    <r>
      <rPr>
        <sz val="10"/>
        <color rgb="FF000000"/>
        <rFont val="WenQuanYi Zen Hei"/>
        <family val="2"/>
      </rPr>
      <t xml:space="preserve">・公共積算の損料は年間運転</t>
    </r>
    <r>
      <rPr>
        <sz val="10"/>
        <color rgb="FF000000"/>
        <rFont val="Arial"/>
        <family val="0"/>
        <charset val="1"/>
      </rPr>
      <t xml:space="preserve">140</t>
    </r>
    <r>
      <rPr>
        <sz val="10"/>
        <color rgb="FF000000"/>
        <rFont val="WenQuanYi Zen Hei"/>
        <family val="2"/>
      </rPr>
      <t xml:space="preserve">日・供用</t>
    </r>
    <r>
      <rPr>
        <sz val="10"/>
        <color rgb="FF000000"/>
        <rFont val="Arial"/>
        <family val="0"/>
        <charset val="1"/>
      </rPr>
      <t xml:space="preserve">180</t>
    </r>
    <r>
      <rPr>
        <sz val="10"/>
        <color rgb="FF000000"/>
        <rFont val="WenQuanYi Zen Hei"/>
        <family val="2"/>
      </rPr>
      <t xml:space="preserve">日を前提とするため、民間で年</t>
    </r>
    <r>
      <rPr>
        <sz val="10"/>
        <color rgb="FF000000"/>
        <rFont val="Arial"/>
        <family val="0"/>
        <charset val="1"/>
      </rPr>
      <t xml:space="preserve">250</t>
    </r>
    <r>
      <rPr>
        <sz val="10"/>
        <color rgb="FF000000"/>
        <rFont val="WenQuanYi Zen Hei"/>
        <family val="2"/>
      </rPr>
      <t xml:space="preserve">日前後稼働する車両より</t>
    </r>
    <r>
      <rPr>
        <sz val="10"/>
        <color rgb="FF000000"/>
        <rFont val="Arial"/>
        <family val="0"/>
        <charset val="1"/>
      </rPr>
      <t xml:space="preserve">1</t>
    </r>
    <r>
      <rPr>
        <sz val="10"/>
        <color rgb="FF000000"/>
        <rFont val="WenQuanYi Zen Hei"/>
        <family val="2"/>
      </rPr>
      <t xml:space="preserve">日あたりの車両費が高く出る。</t>
    </r>
  </si>
  <si>
    <r>
      <rPr>
        <sz val="10"/>
        <color rgb="FF000000"/>
        <rFont val="WenQuanYi Zen Hei"/>
        <family val="2"/>
      </rPr>
      <t xml:space="preserve">・岩手県は損料表を独自公表しておらず、国交省『建設機械等損料表』を準用（県内全市は豪雪</t>
    </r>
    <r>
      <rPr>
        <sz val="10"/>
        <color rgb="FF000000"/>
        <rFont val="Arial"/>
        <family val="0"/>
        <charset val="1"/>
      </rPr>
      <t xml:space="preserve">B</t>
    </r>
    <r>
      <rPr>
        <sz val="10"/>
        <color rgb="FF000000"/>
        <rFont val="WenQuanYi Zen Hei"/>
        <family val="2"/>
      </rPr>
      <t xml:space="preserve">地区）。本表は同じ国交省表に豪雪補正をかけて公表している新潟県（</t>
    </r>
    <r>
      <rPr>
        <sz val="10"/>
        <color rgb="FF000000"/>
        <rFont val="Arial"/>
        <family val="0"/>
        <charset val="1"/>
      </rPr>
      <t xml:space="preserve">R7.10</t>
    </r>
    <r>
      <rPr>
        <sz val="10"/>
        <color rgb="FF000000"/>
        <rFont val="WenQuanYi Zen Hei"/>
        <family val="2"/>
      </rPr>
      <t xml:space="preserve">適用）の値を使用。令和</t>
    </r>
    <r>
      <rPr>
        <sz val="10"/>
        <color rgb="FF000000"/>
        <rFont val="Arial"/>
        <family val="0"/>
        <charset val="1"/>
      </rPr>
      <t xml:space="preserve">8</t>
    </r>
    <r>
      <rPr>
        <sz val="10"/>
        <color rgb="FF000000"/>
        <rFont val="WenQuanYi Zen Hei"/>
        <family val="2"/>
      </rPr>
      <t xml:space="preserve">年度版の数値は市販本で確認して前提条件シートを置換すること。</t>
    </r>
  </si>
  <si>
    <t xml:space="preserve">・労務単価は賃金のみで、法定福利費の事業主負担は含まない（ここでは諸経費率に含めて計上）。</t>
  </si>
  <si>
    <r>
      <rPr>
        <b val="true"/>
        <sz val="13"/>
        <color rgb="FF000000"/>
        <rFont val="WenQuanYi Zen Hei"/>
        <family val="2"/>
      </rPr>
      <t xml:space="preserve">比較と感度分析（税抜・円</t>
    </r>
    <r>
      <rPr>
        <b val="true"/>
        <sz val="13"/>
        <color rgb="FF000000"/>
        <rFont val="Arial"/>
        <family val="0"/>
        <charset val="1"/>
      </rPr>
      <t xml:space="preserve">/</t>
    </r>
    <r>
      <rPr>
        <b val="true"/>
        <sz val="13"/>
        <color rgb="FF000000"/>
        <rFont val="WenQuanYi Zen Hei"/>
        <family val="2"/>
      </rPr>
      <t xml:space="preserve">日）</t>
    </r>
  </si>
  <si>
    <t xml:space="preserve">指標</t>
  </si>
  <si>
    <r>
      <rPr>
        <sz val="10"/>
        <color rgb="FF000000"/>
        <rFont val="WenQuanYi Zen Hei"/>
        <family val="2"/>
      </rPr>
      <t xml:space="preserve">方式</t>
    </r>
    <r>
      <rPr>
        <sz val="10"/>
        <color rgb="FF000000"/>
        <rFont val="Arial"/>
        <family val="0"/>
        <charset val="1"/>
      </rPr>
      <t xml:space="preserve">A</t>
    </r>
    <r>
      <rPr>
        <sz val="10"/>
        <color rgb="FF000000"/>
        <rFont val="WenQuanYi Zen Hei"/>
        <family val="2"/>
      </rPr>
      <t xml:space="preserve">：事業者原価（新車償却中）</t>
    </r>
  </si>
  <si>
    <r>
      <rPr>
        <sz val="10"/>
        <color rgb="FF000000"/>
        <rFont val="Arial"/>
        <family val="0"/>
        <charset val="1"/>
      </rPr>
      <t xml:space="preserve">A_</t>
    </r>
    <r>
      <rPr>
        <sz val="10"/>
        <color rgb="FF000000"/>
        <rFont val="WenQuanYi Zen Hei"/>
        <family val="2"/>
      </rPr>
      <t xml:space="preserve">事業者原価シート</t>
    </r>
  </si>
  <si>
    <r>
      <rPr>
        <sz val="10"/>
        <color rgb="FF000000"/>
        <rFont val="WenQuanYi Zen Hei"/>
        <family val="2"/>
      </rPr>
      <t xml:space="preserve">方式</t>
    </r>
    <r>
      <rPr>
        <sz val="10"/>
        <color rgb="FF000000"/>
        <rFont val="Arial"/>
        <family val="0"/>
        <charset val="1"/>
      </rPr>
      <t xml:space="preserve">B</t>
    </r>
    <r>
      <rPr>
        <sz val="10"/>
        <color rgb="FF000000"/>
        <rFont val="WenQuanYi Zen Hei"/>
        <family val="2"/>
      </rPr>
      <t xml:space="preserve">：公共積算構成</t>
    </r>
  </si>
  <si>
    <r>
      <rPr>
        <sz val="10"/>
        <color rgb="FF000000"/>
        <rFont val="Arial"/>
        <family val="0"/>
        <charset val="1"/>
      </rPr>
      <t xml:space="preserve">B_</t>
    </r>
    <r>
      <rPr>
        <sz val="10"/>
        <color rgb="FF000000"/>
        <rFont val="WenQuanYi Zen Hei"/>
        <family val="2"/>
      </rPr>
      <t xml:space="preserve">公共積算シート</t>
    </r>
  </si>
  <si>
    <r>
      <rPr>
        <sz val="10"/>
        <color rgb="FF000000"/>
        <rFont val="WenQuanYi Zen Hei"/>
        <family val="2"/>
      </rPr>
      <t xml:space="preserve">標準的運賃 東北 大型ダンプ </t>
    </r>
    <r>
      <rPr>
        <sz val="10"/>
        <color rgb="FF000000"/>
        <rFont val="Arial"/>
        <family val="0"/>
        <charset val="1"/>
      </rPr>
      <t xml:space="preserve">8</t>
    </r>
    <r>
      <rPr>
        <sz val="10"/>
        <color rgb="FF000000"/>
        <rFont val="WenQuanYi Zen Hei"/>
        <family val="2"/>
      </rPr>
      <t xml:space="preserve">時間制</t>
    </r>
  </si>
  <si>
    <r>
      <rPr>
        <sz val="10"/>
        <color rgb="FF000000"/>
        <rFont val="WenQuanYi Zen Hei"/>
        <family val="2"/>
      </rPr>
      <t xml:space="preserve">基礎額</t>
    </r>
    <r>
      <rPr>
        <sz val="10"/>
        <color rgb="FF000000"/>
        <rFont val="Arial"/>
        <family val="0"/>
        <charset val="1"/>
      </rPr>
      <t xml:space="preserve">×(1</t>
    </r>
    <r>
      <rPr>
        <sz val="10"/>
        <color rgb="FF000000"/>
        <rFont val="WenQuanYi Zen Hei"/>
        <family val="2"/>
      </rPr>
      <t xml:space="preserve">＋ダンプ割増</t>
    </r>
    <r>
      <rPr>
        <sz val="10"/>
        <color rgb="FF000000"/>
        <rFont val="Arial"/>
        <family val="0"/>
        <charset val="1"/>
      </rPr>
      <t xml:space="preserve">2</t>
    </r>
    <r>
      <rPr>
        <sz val="10"/>
        <color rgb="FF000000"/>
        <rFont val="WenQuanYi Zen Hei"/>
        <family val="2"/>
      </rPr>
      <t xml:space="preserve">割</t>
    </r>
    <r>
      <rPr>
        <sz val="10"/>
        <color rgb="FF000000"/>
        <rFont val="Arial"/>
        <family val="0"/>
        <charset val="1"/>
      </rPr>
      <t xml:space="preserve">)</t>
    </r>
    <r>
      <rPr>
        <sz val="10"/>
        <color rgb="FF000000"/>
        <rFont val="WenQuanYi Zen Hei"/>
        <family val="2"/>
      </rPr>
      <t xml:space="preserve">。燃料サーチャージ・高速代別</t>
    </r>
  </si>
  <si>
    <t xml:space="preserve">民間実勢（全国の料金表例）下限</t>
  </si>
  <si>
    <r>
      <rPr>
        <sz val="10"/>
        <color rgb="FF000000"/>
        <rFont val="WenQuanYi Zen Hei"/>
        <family val="2"/>
      </rPr>
      <t xml:space="preserve">芝田建設 料金表 </t>
    </r>
    <r>
      <rPr>
        <sz val="10"/>
        <color rgb="FF000000"/>
        <rFont val="Arial"/>
        <family val="0"/>
        <charset val="1"/>
      </rPr>
      <t xml:space="preserve">8</t>
    </r>
    <r>
      <rPr>
        <sz val="10"/>
        <color rgb="FF000000"/>
        <rFont val="WenQuanYi Zen Hei"/>
        <family val="2"/>
      </rPr>
      <t xml:space="preserve">時間</t>
    </r>
  </si>
  <si>
    <t xml:space="preserve">民間実勢（全国の料金表例）上限</t>
  </si>
  <si>
    <t xml:space="preserve">松田興業 料金表</t>
  </si>
  <si>
    <r>
      <rPr>
        <b val="true"/>
        <sz val="10"/>
        <color rgb="FF000000"/>
        <rFont val="WenQuanYi Zen Hei"/>
        <family val="2"/>
      </rPr>
      <t xml:space="preserve">感度分析：方式</t>
    </r>
    <r>
      <rPr>
        <b val="true"/>
        <sz val="10"/>
        <color rgb="FF000000"/>
        <rFont val="Arial"/>
        <family val="0"/>
        <charset val="1"/>
      </rPr>
      <t xml:space="preserve">A</t>
    </r>
    <r>
      <rPr>
        <b val="true"/>
        <sz val="10"/>
        <color rgb="FF000000"/>
        <rFont val="WenQuanYi Zen Hei"/>
        <family val="2"/>
      </rPr>
      <t xml:space="preserve">の</t>
    </r>
    <r>
      <rPr>
        <b val="true"/>
        <sz val="10"/>
        <color rgb="FF000000"/>
        <rFont val="Arial"/>
        <family val="0"/>
        <charset val="1"/>
      </rPr>
      <t xml:space="preserve">1</t>
    </r>
    <r>
      <rPr>
        <b val="true"/>
        <sz val="10"/>
        <color rgb="FF000000"/>
        <rFont val="WenQuanYi Zen Hei"/>
        <family val="2"/>
      </rPr>
      <t xml:space="preserve">日原価 ― 年間稼働日数 </t>
    </r>
    <r>
      <rPr>
        <b val="true"/>
        <sz val="10"/>
        <color rgb="FF000000"/>
        <rFont val="Arial"/>
        <family val="0"/>
        <charset val="1"/>
      </rPr>
      <t xml:space="preserve">× </t>
    </r>
    <r>
      <rPr>
        <b val="true"/>
        <sz val="10"/>
        <color rgb="FF000000"/>
        <rFont val="WenQuanYi Zen Hei"/>
        <family val="2"/>
      </rPr>
      <t xml:space="preserve">車両の償却状況</t>
    </r>
  </si>
  <si>
    <t xml:space="preserve">新車（償却中）</t>
  </si>
  <si>
    <t xml:space="preserve">償却済み車両</t>
  </si>
  <si>
    <t xml:space="preserve">差額</t>
  </si>
  <si>
    <t xml:space="preserve">読み方</t>
  </si>
  <si>
    <r>
      <rPr>
        <sz val="10"/>
        <color rgb="FF000000"/>
        <rFont val="WenQuanYi Zen Hei"/>
        <family val="2"/>
      </rPr>
      <t xml:space="preserve">・方式</t>
    </r>
    <r>
      <rPr>
        <sz val="10"/>
        <color rgb="FF000000"/>
        <rFont val="Arial"/>
        <family val="0"/>
        <charset val="1"/>
      </rPr>
      <t xml:space="preserve">A</t>
    </r>
    <r>
      <rPr>
        <sz val="10"/>
        <color rgb="FF000000"/>
        <rFont val="WenQuanYi Zen Hei"/>
        <family val="2"/>
      </rPr>
      <t xml:space="preserve">（新車</t>
    </r>
    <r>
      <rPr>
        <sz val="10"/>
        <color rgb="FF000000"/>
        <rFont val="Arial"/>
        <family val="0"/>
        <charset val="1"/>
      </rPr>
      <t xml:space="preserve">2,000</t>
    </r>
    <r>
      <rPr>
        <sz val="10"/>
        <color rgb="FF000000"/>
        <rFont val="WenQuanYi Zen Hei"/>
        <family val="2"/>
      </rPr>
      <t xml:space="preserve">万円・年</t>
    </r>
    <r>
      <rPr>
        <sz val="10"/>
        <color rgb="FF000000"/>
        <rFont val="Arial"/>
        <family val="0"/>
        <charset val="1"/>
      </rPr>
      <t xml:space="preserve">250</t>
    </r>
    <r>
      <rPr>
        <sz val="10"/>
        <color rgb="FF000000"/>
        <rFont val="WenQuanYi Zen Hei"/>
        <family val="2"/>
      </rPr>
      <t xml:space="preserve">日）は約</t>
    </r>
    <r>
      <rPr>
        <sz val="10"/>
        <color rgb="FF000000"/>
        <rFont val="Arial"/>
        <family val="0"/>
        <charset val="1"/>
      </rPr>
      <t xml:space="preserve">5.4</t>
    </r>
    <r>
      <rPr>
        <sz val="10"/>
        <color rgb="FF000000"/>
        <rFont val="WenQuanYi Zen Hei"/>
        <family val="2"/>
      </rPr>
      <t xml:space="preserve">万円で民間実勢の上限（</t>
    </r>
    <r>
      <rPr>
        <sz val="10"/>
        <color rgb="FF000000"/>
        <rFont val="Arial"/>
        <family val="0"/>
        <charset val="1"/>
      </rPr>
      <t xml:space="preserve">5</t>
    </r>
    <r>
      <rPr>
        <sz val="10"/>
        <color rgb="FF000000"/>
        <rFont val="WenQuanYi Zen Hei"/>
        <family val="2"/>
      </rPr>
      <t xml:space="preserve">万円）をやや上回る。償却済み車両なら約</t>
    </r>
    <r>
      <rPr>
        <sz val="10"/>
        <color rgb="FF000000"/>
        <rFont val="Arial"/>
        <family val="0"/>
        <charset val="1"/>
      </rPr>
      <t xml:space="preserve">3.6</t>
    </r>
    <r>
      <rPr>
        <sz val="10"/>
        <color rgb="FF000000"/>
        <rFont val="WenQuanYi Zen Hei"/>
        <family val="2"/>
      </rPr>
      <t xml:space="preserve">万円で、実勢</t>
    </r>
    <r>
      <rPr>
        <sz val="10"/>
        <color rgb="FF000000"/>
        <rFont val="Arial"/>
        <family val="0"/>
        <charset val="1"/>
      </rPr>
      <t xml:space="preserve">4</t>
    </r>
    <r>
      <rPr>
        <sz val="10"/>
        <color rgb="FF000000"/>
        <rFont val="WenQuanYi Zen Hei"/>
        <family val="2"/>
      </rPr>
      <t xml:space="preserve">万円前後の業者はこの水準と考えられる。</t>
    </r>
  </si>
  <si>
    <r>
      <rPr>
        <sz val="10"/>
        <color rgb="FF000000"/>
        <rFont val="WenQuanYi Zen Hei"/>
        <family val="2"/>
      </rPr>
      <t xml:space="preserve">・方式</t>
    </r>
    <r>
      <rPr>
        <sz val="10"/>
        <color rgb="FF000000"/>
        <rFont val="Arial"/>
        <family val="0"/>
        <charset val="1"/>
      </rPr>
      <t xml:space="preserve">B</t>
    </r>
    <r>
      <rPr>
        <sz val="10"/>
        <color rgb="FF000000"/>
        <rFont val="WenQuanYi Zen Hei"/>
        <family val="2"/>
      </rPr>
      <t xml:space="preserve">は公共工事の年</t>
    </r>
    <r>
      <rPr>
        <sz val="10"/>
        <color rgb="FF000000"/>
        <rFont val="Arial"/>
        <family val="0"/>
        <charset val="1"/>
      </rPr>
      <t xml:space="preserve">140</t>
    </r>
    <r>
      <rPr>
        <sz val="10"/>
        <color rgb="FF000000"/>
        <rFont val="WenQuanYi Zen Hei"/>
        <family val="2"/>
      </rPr>
      <t xml:space="preserve">日運転前提のため車両費が厚く、民間の傭車相場より高めに出る。</t>
    </r>
  </si>
  <si>
    <r>
      <rPr>
        <sz val="10"/>
        <color rgb="FF000000"/>
        <rFont val="WenQuanYi Zen Hei"/>
        <family val="2"/>
      </rPr>
      <t xml:space="preserve">・標準的運賃（約</t>
    </r>
    <r>
      <rPr>
        <sz val="10"/>
        <color rgb="FF000000"/>
        <rFont val="Arial"/>
        <family val="0"/>
        <charset val="1"/>
      </rPr>
      <t xml:space="preserve">6.3</t>
    </r>
    <r>
      <rPr>
        <sz val="10"/>
        <color rgb="FF000000"/>
        <rFont val="WenQuanYi Zen Hei"/>
        <family val="2"/>
      </rPr>
      <t xml:space="preserve">万円）は国が示す『適正原価＋適正利潤』の目安で、実取引はこれを下回ることが多い。値上げ交渉時の根拠として使える。</t>
    </r>
  </si>
  <si>
    <r>
      <rPr>
        <sz val="10"/>
        <color rgb="FF000000"/>
        <rFont val="WenQuanYi Zen Hei"/>
        <family val="2"/>
      </rPr>
      <t xml:space="preserve">・</t>
    </r>
    <r>
      <rPr>
        <sz val="10"/>
        <color rgb="FF000000"/>
        <rFont val="Arial"/>
        <family val="0"/>
        <charset val="1"/>
      </rPr>
      <t xml:space="preserve">8</t>
    </r>
    <r>
      <rPr>
        <sz val="10"/>
        <color rgb="FF000000"/>
        <rFont val="WenQuanYi Zen Hei"/>
        <family val="2"/>
      </rPr>
      <t xml:space="preserve">時間・</t>
    </r>
    <r>
      <rPr>
        <sz val="10"/>
        <color rgb="FF000000"/>
        <rFont val="Arial"/>
        <family val="0"/>
        <charset val="1"/>
      </rPr>
      <t xml:space="preserve">130km</t>
    </r>
    <r>
      <rPr>
        <sz val="10"/>
        <color rgb="FF000000"/>
        <rFont val="WenQuanYi Zen Hei"/>
        <family val="2"/>
      </rPr>
      <t xml:space="preserve">超、待機、高速代、残土処分費、積込機械は別途精算が一般的。</t>
    </r>
  </si>
  <si>
    <t xml:space="preserve">出典一覧</t>
  </si>
  <si>
    <t xml:space="preserve">国交省『標準的な運賃』の考え方・原価算定方法</t>
  </si>
  <si>
    <t xml:space="preserve">https://www.mlit.go.jp/common/001358610.pdf</t>
  </si>
  <si>
    <r>
      <rPr>
        <sz val="10"/>
        <color rgb="FF000000"/>
        <rFont val="WenQuanYi Zen Hei"/>
        <family val="2"/>
      </rPr>
      <t xml:space="preserve">全日本トラック協会『標準的運賃が改定されました』（令和</t>
    </r>
    <r>
      <rPr>
        <sz val="10"/>
        <color rgb="FF000000"/>
        <rFont val="Arial"/>
        <family val="0"/>
        <charset val="1"/>
      </rPr>
      <t xml:space="preserve">6</t>
    </r>
    <r>
      <rPr>
        <sz val="10"/>
        <color rgb="FF000000"/>
        <rFont val="WenQuanYi Zen Hei"/>
        <family val="2"/>
      </rPr>
      <t xml:space="preserve">年</t>
    </r>
    <r>
      <rPr>
        <sz val="10"/>
        <color rgb="FF000000"/>
        <rFont val="Arial"/>
        <family val="0"/>
        <charset val="1"/>
      </rPr>
      <t xml:space="preserve">3</t>
    </r>
    <r>
      <rPr>
        <sz val="10"/>
        <color rgb="FF000000"/>
        <rFont val="WenQuanYi Zen Hei"/>
        <family val="2"/>
      </rPr>
      <t xml:space="preserve">月）</t>
    </r>
  </si>
  <si>
    <t xml:space="preserve">https://jta.or.jp/wp-content/themes/jta_theme/pdf/202410unchin.pdf</t>
  </si>
  <si>
    <r>
      <rPr>
        <sz val="10"/>
        <color rgb="FF000000"/>
        <rFont val="WenQuanYi Zen Hei"/>
        <family val="2"/>
      </rPr>
      <t xml:space="preserve">令和</t>
    </r>
    <r>
      <rPr>
        <sz val="10"/>
        <color rgb="FF000000"/>
        <rFont val="Arial"/>
        <family val="0"/>
        <charset val="1"/>
      </rPr>
      <t xml:space="preserve">8</t>
    </r>
    <r>
      <rPr>
        <sz val="10"/>
        <color rgb="FF000000"/>
        <rFont val="WenQuanYi Zen Hei"/>
        <family val="2"/>
      </rPr>
      <t xml:space="preserve">年</t>
    </r>
    <r>
      <rPr>
        <sz val="10"/>
        <color rgb="FF000000"/>
        <rFont val="Arial"/>
        <family val="0"/>
        <charset val="1"/>
      </rPr>
      <t xml:space="preserve">3</t>
    </r>
    <r>
      <rPr>
        <sz val="10"/>
        <color rgb="FF000000"/>
        <rFont val="WenQuanYi Zen Hei"/>
        <family val="2"/>
      </rPr>
      <t xml:space="preserve">月から適用する公共工事設計労務単価表（農水省・国交省）</t>
    </r>
  </si>
  <si>
    <t xml:space="preserve">https://www.rinya.maff.go.jp/j/sekou/gijutu/attach/pdf/sekisan_kijun-374.pdf</t>
  </si>
  <si>
    <r>
      <rPr>
        <sz val="10"/>
        <color rgb="FF000000"/>
        <rFont val="WenQuanYi Zen Hei"/>
        <family val="2"/>
      </rPr>
      <t xml:space="preserve">新潟県農地部 機械損料一覧表（令和</t>
    </r>
    <r>
      <rPr>
        <sz val="10"/>
        <color rgb="FF000000"/>
        <rFont val="Arial"/>
        <family val="0"/>
        <charset val="1"/>
      </rPr>
      <t xml:space="preserve">7</t>
    </r>
    <r>
      <rPr>
        <sz val="10"/>
        <color rgb="FF000000"/>
        <rFont val="WenQuanYi Zen Hei"/>
        <family val="2"/>
      </rPr>
      <t xml:space="preserve">年</t>
    </r>
    <r>
      <rPr>
        <sz val="10"/>
        <color rgb="FF000000"/>
        <rFont val="Arial"/>
        <family val="0"/>
        <charset val="1"/>
      </rPr>
      <t xml:space="preserve">10</t>
    </r>
    <r>
      <rPr>
        <sz val="10"/>
        <color rgb="FF000000"/>
        <rFont val="WenQuanYi Zen Hei"/>
        <family val="2"/>
      </rPr>
      <t xml:space="preserve">月</t>
    </r>
    <r>
      <rPr>
        <sz val="10"/>
        <color rgb="FF000000"/>
        <rFont val="Arial"/>
        <family val="0"/>
        <charset val="1"/>
      </rPr>
      <t xml:space="preserve">20</t>
    </r>
    <r>
      <rPr>
        <sz val="10"/>
        <color rgb="FF000000"/>
        <rFont val="WenQuanYi Zen Hei"/>
        <family val="2"/>
      </rPr>
      <t xml:space="preserve">日以降適用・</t>
    </r>
    <r>
      <rPr>
        <sz val="10"/>
        <color rgb="FF000000"/>
        <rFont val="Arial"/>
        <family val="0"/>
        <charset val="1"/>
      </rPr>
      <t xml:space="preserve">12</t>
    </r>
    <r>
      <rPr>
        <sz val="10"/>
        <color rgb="FF000000"/>
        <rFont val="WenQuanYi Zen Hei"/>
        <family val="2"/>
      </rPr>
      <t xml:space="preserve">月</t>
    </r>
    <r>
      <rPr>
        <sz val="10"/>
        <color rgb="FF000000"/>
        <rFont val="Arial"/>
        <family val="0"/>
        <charset val="1"/>
      </rPr>
      <t xml:space="preserve">2</t>
    </r>
    <r>
      <rPr>
        <sz val="10"/>
        <color rgb="FF000000"/>
        <rFont val="WenQuanYi Zen Hei"/>
        <family val="2"/>
      </rPr>
      <t xml:space="preserve">日訂正版）</t>
    </r>
  </si>
  <si>
    <t xml:space="preserve">https://www.pref.niigata.lg.jp/uploaded/attachment/474671.pdf</t>
  </si>
  <si>
    <r>
      <rPr>
        <sz val="10"/>
        <color rgb="FF000000"/>
        <rFont val="WenQuanYi Zen Hei"/>
        <family val="2"/>
      </rPr>
      <t xml:space="preserve">岩手県 令和</t>
    </r>
    <r>
      <rPr>
        <sz val="10"/>
        <color rgb="FF000000"/>
        <rFont val="Arial"/>
        <family val="0"/>
        <charset val="1"/>
      </rPr>
      <t xml:space="preserve">8</t>
    </r>
    <r>
      <rPr>
        <sz val="10"/>
        <color rgb="FF000000"/>
        <rFont val="WenQuanYi Zen Hei"/>
        <family val="2"/>
      </rPr>
      <t xml:space="preserve">年度土木工事標準積算基準書（公表用）※損料表は国交省版を適用</t>
    </r>
  </si>
  <si>
    <t xml:space="preserve">https://www.pref.iwate.jp/kendozukuri/kensetsu/1093671/1101385.html</t>
  </si>
  <si>
    <r>
      <rPr>
        <sz val="10"/>
        <color rgb="FF000000"/>
        <rFont val="WenQuanYi Zen Hei"/>
        <family val="2"/>
      </rPr>
      <t xml:space="preserve">岩手県 土木工事標準積算基準書（運用編）令和</t>
    </r>
    <r>
      <rPr>
        <sz val="10"/>
        <color rgb="FF000000"/>
        <rFont val="Arial"/>
        <family val="0"/>
        <charset val="1"/>
      </rPr>
      <t xml:space="preserve">8</t>
    </r>
    <r>
      <rPr>
        <sz val="10"/>
        <color rgb="FF000000"/>
        <rFont val="WenQuanYi Zen Hei"/>
        <family val="2"/>
      </rPr>
      <t xml:space="preserve">年</t>
    </r>
    <r>
      <rPr>
        <sz val="10"/>
        <color rgb="FF000000"/>
        <rFont val="Arial"/>
        <family val="0"/>
        <charset val="1"/>
      </rPr>
      <t xml:space="preserve">10</t>
    </r>
    <r>
      <rPr>
        <sz val="10"/>
        <color rgb="FF000000"/>
        <rFont val="WenQuanYi Zen Hei"/>
        <family val="2"/>
      </rPr>
      <t xml:space="preserve">月</t>
    </r>
    <r>
      <rPr>
        <sz val="10"/>
        <color rgb="FF000000"/>
        <rFont val="Arial"/>
        <family val="0"/>
        <charset val="1"/>
      </rPr>
      <t xml:space="preserve">1</t>
    </r>
    <r>
      <rPr>
        <sz val="10"/>
        <color rgb="FF000000"/>
        <rFont val="WenQuanYi Zen Hei"/>
        <family val="2"/>
      </rPr>
      <t xml:space="preserve">日以降適用 ※機械所在地の豪雪地域区分（岩手県全市＝</t>
    </r>
    <r>
      <rPr>
        <sz val="10"/>
        <color rgb="FF000000"/>
        <rFont val="Arial"/>
        <family val="0"/>
        <charset val="1"/>
      </rPr>
      <t xml:space="preserve">B</t>
    </r>
    <r>
      <rPr>
        <sz val="10"/>
        <color rgb="FF000000"/>
        <rFont val="WenQuanYi Zen Hei"/>
        <family val="2"/>
      </rPr>
      <t xml:space="preserve">地区）</t>
    </r>
  </si>
  <si>
    <t xml:space="preserve">https://www.pref.iwate.jp/_res/projects/default_project/_page_/001/101/385/261001_unnyouhen.pdf</t>
  </si>
  <si>
    <r>
      <rPr>
        <sz val="10"/>
        <color rgb="FF000000"/>
        <rFont val="WenQuanYi Zen Hei"/>
        <family val="2"/>
      </rPr>
      <t xml:space="preserve">日本建設機械施工協会『建設機械等損料表 令和</t>
    </r>
    <r>
      <rPr>
        <sz val="10"/>
        <color rgb="FF000000"/>
        <rFont val="Arial"/>
        <family val="0"/>
        <charset val="1"/>
      </rPr>
      <t xml:space="preserve">8</t>
    </r>
    <r>
      <rPr>
        <sz val="10"/>
        <color rgb="FF000000"/>
        <rFont val="WenQuanYi Zen Hei"/>
        <family val="2"/>
      </rPr>
      <t xml:space="preserve">年度版』（市販）</t>
    </r>
  </si>
  <si>
    <t xml:space="preserve">https://www.gov-book.or.jp/book/detail.php?product_id=408304</t>
  </si>
  <si>
    <r>
      <rPr>
        <sz val="10"/>
        <color rgb="FF000000"/>
        <rFont val="WenQuanYi Zen Hei"/>
        <family val="2"/>
      </rPr>
      <t xml:space="preserve">林野庁東北森林管理局 岩手南部 単価資料（</t>
    </r>
    <r>
      <rPr>
        <sz val="10"/>
        <color rgb="FF000000"/>
        <rFont val="Arial"/>
        <family val="0"/>
        <charset val="1"/>
      </rPr>
      <t xml:space="preserve">10t</t>
    </r>
    <r>
      <rPr>
        <sz val="10"/>
        <color rgb="FF000000"/>
        <rFont val="WenQuanYi Zen Hei"/>
        <family val="2"/>
      </rPr>
      <t xml:space="preserve">ダンプ内訳）</t>
    </r>
  </si>
  <si>
    <t xml:space="preserve">https://www.rinya.maff.go.jp/tohoku/apply/publicsale/iwatenanbu/attach/pdf/tya-ta-2-5.pdf</t>
  </si>
  <si>
    <t xml:space="preserve">岩手県の軽油価格（資源エネルギー庁調査ベース）</t>
  </si>
  <si>
    <t xml:space="preserve">https://oil-stat.com/light/%E5%B2%A9%E6%89%8B%E7%9C%8C.html</t>
  </si>
  <si>
    <t xml:space="preserve">トラック流通センター 大型ダンプの価格</t>
  </si>
  <si>
    <t xml:space="preserve">https://www.kaitoriou.net/page/knowledge/type/11679/</t>
  </si>
  <si>
    <r>
      <rPr>
        <sz val="10"/>
        <color rgb="FF000000"/>
        <rFont val="Arial"/>
        <family val="0"/>
        <charset val="1"/>
      </rPr>
      <t xml:space="preserve">GROOWAVE 10t</t>
    </r>
    <r>
      <rPr>
        <sz val="10"/>
        <color rgb="FF000000"/>
        <rFont val="WenQuanYi Zen Hei"/>
        <family val="2"/>
      </rPr>
      <t xml:space="preserve">ダンプの価格相場</t>
    </r>
  </si>
  <si>
    <t xml:space="preserve">https://groowave.com/blog/truck/10t-dump/</t>
  </si>
  <si>
    <r>
      <rPr>
        <sz val="10"/>
        <color rgb="FF000000"/>
        <rFont val="Arial"/>
        <family val="0"/>
        <charset val="1"/>
      </rPr>
      <t xml:space="preserve">SIGMA 10t</t>
    </r>
    <r>
      <rPr>
        <sz val="10"/>
        <color rgb="FF000000"/>
        <rFont val="WenQuanYi Zen Hei"/>
        <family val="2"/>
      </rPr>
      <t xml:space="preserve">ダンプトラック解説</t>
    </r>
  </si>
  <si>
    <t xml:space="preserve">https://satei.sigmaintl.jp/column/10532</t>
  </si>
  <si>
    <t xml:space="preserve">芝田建設 料金表</t>
  </si>
  <si>
    <t xml:space="preserve">http://shibata3000.com/wp/wp-content/uploads/rental_pricelist.pdf</t>
  </si>
  <si>
    <t xml:space="preserve">https://www.matsudakougyou.com/price/</t>
  </si>
  <si>
    <t xml:space="preserve">求人ボックス 岩手県ダンプ運転手（給与水準の参考）</t>
  </si>
  <si>
    <t xml:space="preserve">https://xn--pckua2a7gp15o89zb.com/%E3%83%80%E3%83%B3%E3%83%97%E9%81%8B%E8%BB%A2%E6%89%8B%E3%81%AE%E4%BB%95%E4%BA%8B-%E5%B2%A9%E6%89%8B%E7%9C%8C</t>
  </si>
</sst>
</file>

<file path=xl/styles.xml><?xml version="1.0" encoding="utf-8"?>
<styleSheet xmlns="http://schemas.openxmlformats.org/spreadsheetml/2006/main">
  <numFmts count="7">
    <numFmt numFmtId="164" formatCode="General"/>
    <numFmt numFmtId="165" formatCode="#,##0;\(#,##0\);\-"/>
    <numFmt numFmtId="166" formatCode="#,##0.0;\(#,##0.0\);\-"/>
    <numFmt numFmtId="167" formatCode="0.0%;\(0.0%\);\-"/>
    <numFmt numFmtId="168" formatCode="0.000"/>
    <numFmt numFmtId="169" formatCode="0.00"/>
    <numFmt numFmtId="170" formatCode="0\日"/>
  </numFmts>
  <fonts count="17">
    <font>
      <sz val="11"/>
      <color theme="1"/>
      <name val="Calibri"/>
      <family val="2"/>
      <charset val="1"/>
    </font>
    <font>
      <sz val="10"/>
      <name val="Arial"/>
      <family val="0"/>
    </font>
    <font>
      <sz val="10"/>
      <name val="Arial"/>
      <family val="0"/>
    </font>
    <font>
      <sz val="10"/>
      <name val="Arial"/>
      <family val="0"/>
    </font>
    <font>
      <b val="true"/>
      <sz val="13"/>
      <color rgb="FF000000"/>
      <name val="WenQuanYi Zen Hei"/>
      <family val="2"/>
    </font>
    <font>
      <b val="true"/>
      <sz val="13"/>
      <color rgb="FF000000"/>
      <name val="Arial"/>
      <family val="0"/>
      <charset val="1"/>
    </font>
    <font>
      <sz val="11"/>
      <color theme="1"/>
      <name val="Arial"/>
      <family val="0"/>
      <charset val="1"/>
    </font>
    <font>
      <sz val="10"/>
      <color rgb="FF555555"/>
      <name val="WenQuanYi Zen Hei"/>
      <family val="2"/>
    </font>
    <font>
      <sz val="10"/>
      <color rgb="FF555555"/>
      <name val="Arial"/>
      <family val="0"/>
      <charset val="1"/>
    </font>
    <font>
      <b val="true"/>
      <sz val="10"/>
      <color rgb="FF000000"/>
      <name val="WenQuanYi Zen Hei"/>
      <family val="2"/>
    </font>
    <font>
      <sz val="10"/>
      <color rgb="FF000000"/>
      <name val="WenQuanYi Zen Hei"/>
      <family val="2"/>
    </font>
    <font>
      <sz val="10"/>
      <color rgb="FF0000FF"/>
      <name val="Arial"/>
      <family val="0"/>
      <charset val="1"/>
    </font>
    <font>
      <sz val="10"/>
      <color rgb="FF000000"/>
      <name val="Arial"/>
      <family val="0"/>
      <charset val="1"/>
    </font>
    <font>
      <b val="true"/>
      <sz val="10"/>
      <color rgb="FF000000"/>
      <name val="Arial"/>
      <family val="0"/>
      <charset val="1"/>
    </font>
    <font>
      <sz val="11"/>
      <color theme="1"/>
      <name val="WenQuanYi Zen Hei"/>
      <family val="2"/>
    </font>
    <font>
      <sz val="10"/>
      <color rgb="FF008000"/>
      <name val="Arial"/>
      <family val="0"/>
      <charset val="1"/>
    </font>
    <font>
      <u val="single"/>
      <sz val="11"/>
      <color rgb="FF0563C1"/>
      <name val="Arial"/>
      <family val="0"/>
      <charset val="1"/>
    </font>
  </fonts>
  <fills count="5">
    <fill>
      <patternFill patternType="none"/>
    </fill>
    <fill>
      <patternFill patternType="gray125"/>
    </fill>
    <fill>
      <patternFill patternType="solid">
        <fgColor rgb="FFD9E1F2"/>
        <bgColor rgb="FFE2EFDA"/>
      </patternFill>
    </fill>
    <fill>
      <patternFill patternType="solid">
        <fgColor rgb="FFFFFF00"/>
        <bgColor rgb="FFFFFF00"/>
      </patternFill>
    </fill>
    <fill>
      <patternFill patternType="solid">
        <fgColor rgb="FFE2EFDA"/>
        <bgColor rgb="FFD9E1F2"/>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hyperlink" Target="https://www.mlit.go.jp/common/001358610.pdf" TargetMode="External"/><Relationship Id="rId2" Type="http://schemas.openxmlformats.org/officeDocument/2006/relationships/hyperlink" Target="https://jta.or.jp/wp-content/themes/jta_theme/pdf/202410unchin.pdf" TargetMode="External"/><Relationship Id="rId3" Type="http://schemas.openxmlformats.org/officeDocument/2006/relationships/hyperlink" Target="https://www.rinya.maff.go.jp/j/sekou/gijutu/attach/pdf/sekisan_kijun-374.pdf" TargetMode="External"/><Relationship Id="rId4" Type="http://schemas.openxmlformats.org/officeDocument/2006/relationships/hyperlink" Target="https://www.pref.niigata.lg.jp/uploaded/attachment/474671.pdf" TargetMode="External"/><Relationship Id="rId5" Type="http://schemas.openxmlformats.org/officeDocument/2006/relationships/hyperlink" Target="https://www.pref.iwate.jp/kendozukuri/kensetsu/1093671/1101385.html" TargetMode="External"/><Relationship Id="rId6" Type="http://schemas.openxmlformats.org/officeDocument/2006/relationships/hyperlink" Target="https://www.pref.iwate.jp/_res/projects/default_project/_page_/001/101/385/261001_unnyouhen.pdf" TargetMode="External"/><Relationship Id="rId7" Type="http://schemas.openxmlformats.org/officeDocument/2006/relationships/hyperlink" Target="https://www.gov-book.or.jp/book/detail.php?product_id=408304" TargetMode="External"/><Relationship Id="rId8" Type="http://schemas.openxmlformats.org/officeDocument/2006/relationships/hyperlink" Target="https://www.rinya.maff.go.jp/tohoku/apply/publicsale/iwatenanbu/attach/pdf/tya-ta-2-5.pdf" TargetMode="External"/><Relationship Id="rId9" Type="http://schemas.openxmlformats.org/officeDocument/2006/relationships/hyperlink" Target="https://oil-stat.com/light/&#23721;&#25163;&#30476;.html" TargetMode="External"/><Relationship Id="rId10" Type="http://schemas.openxmlformats.org/officeDocument/2006/relationships/hyperlink" Target="https://www.kaitoriou.net/page/knowledge/type/11679/" TargetMode="External"/><Relationship Id="rId11" Type="http://schemas.openxmlformats.org/officeDocument/2006/relationships/hyperlink" Target="https://groowave.com/blog/truck/10t-dump/" TargetMode="External"/><Relationship Id="rId12" Type="http://schemas.openxmlformats.org/officeDocument/2006/relationships/hyperlink" Target="https://satei.sigmaintl.jp/column/10532" TargetMode="External"/><Relationship Id="rId13" Type="http://schemas.openxmlformats.org/officeDocument/2006/relationships/hyperlink" Target="http://shibata3000.com/wp/wp-content/uploads/rental_pricelist.pdf" TargetMode="External"/><Relationship Id="rId14" Type="http://schemas.openxmlformats.org/officeDocument/2006/relationships/hyperlink" Target="https://www.matsudakougyou.com/price/" TargetMode="External"/><Relationship Id="rId15" Type="http://schemas.openxmlformats.org/officeDocument/2006/relationships/hyperlink" Target="https://xn--pckua2a7gp15o89zb.com/&#12480;&#12531;&#12503;&#36939;&#36578;&#25163;&#12398;&#20181;&#20107;-&#23721;&#25163;&#3047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1"/>
    <col collapsed="false" customWidth="true" hidden="false" outlineLevel="0" max="4" min="4" style="0" width="8"/>
    <col collapsed="false" customWidth="true" hidden="false" outlineLevel="0" max="5" min="5" style="0" width="90"/>
  </cols>
  <sheetData>
    <row r="1" customFormat="false" ht="17.15" hidden="false" customHeight="false" outlineLevel="0" collapsed="false">
      <c r="A1" s="1" t="s">
        <v>0</v>
      </c>
      <c r="B1" s="2"/>
      <c r="C1" s="2"/>
      <c r="D1" s="2"/>
      <c r="E1" s="2"/>
    </row>
    <row r="2" customFormat="false" ht="15" hidden="false" customHeight="false" outlineLevel="0" collapsed="false">
      <c r="A2" s="3" t="s">
        <v>1</v>
      </c>
      <c r="B2" s="2"/>
      <c r="C2" s="2"/>
      <c r="D2" s="2"/>
      <c r="E2" s="2"/>
    </row>
    <row r="3" customFormat="false" ht="15" hidden="false" customHeight="false" outlineLevel="0" collapsed="false">
      <c r="A3" s="3" t="s">
        <v>2</v>
      </c>
      <c r="B3" s="2"/>
      <c r="C3" s="2"/>
      <c r="D3" s="2"/>
      <c r="E3" s="2"/>
    </row>
    <row r="4" customFormat="false" ht="15" hidden="false" customHeight="false" outlineLevel="0" collapsed="false">
      <c r="A4" s="4" t="s">
        <v>3</v>
      </c>
      <c r="B4" s="4" t="s">
        <v>4</v>
      </c>
      <c r="C4" s="4" t="s">
        <v>5</v>
      </c>
      <c r="D4" s="4" t="s">
        <v>6</v>
      </c>
      <c r="E4" s="4" t="s">
        <v>7</v>
      </c>
    </row>
    <row r="5" customFormat="false" ht="15" hidden="false" customHeight="false" outlineLevel="0" collapsed="false">
      <c r="A5" s="5" t="s">
        <v>8</v>
      </c>
      <c r="B5" s="2"/>
      <c r="C5" s="2"/>
      <c r="D5" s="2"/>
      <c r="E5" s="2"/>
    </row>
    <row r="6" customFormat="false" ht="15" hidden="false" customHeight="false" outlineLevel="0" collapsed="false">
      <c r="A6" s="6" t="s">
        <v>9</v>
      </c>
      <c r="B6" s="7" t="n">
        <v>250</v>
      </c>
      <c r="C6" s="6" t="s">
        <v>10</v>
      </c>
      <c r="D6" s="6" t="s">
        <v>11</v>
      </c>
      <c r="E6" s="6" t="s">
        <v>12</v>
      </c>
    </row>
    <row r="7" customFormat="false" ht="15" hidden="false" customHeight="false" outlineLevel="0" collapsed="false">
      <c r="A7" s="6" t="s">
        <v>13</v>
      </c>
      <c r="B7" s="8" t="n">
        <v>154.9</v>
      </c>
      <c r="C7" s="6" t="s">
        <v>14</v>
      </c>
      <c r="D7" s="6" t="s">
        <v>15</v>
      </c>
      <c r="E7" s="6" t="s">
        <v>16</v>
      </c>
    </row>
    <row r="8" customFormat="false" ht="15" hidden="false" customHeight="false" outlineLevel="0" collapsed="false">
      <c r="A8" s="6" t="s">
        <v>17</v>
      </c>
      <c r="B8" s="9" t="n">
        <v>0.1</v>
      </c>
      <c r="C8" s="6"/>
      <c r="D8" s="6" t="s">
        <v>18</v>
      </c>
      <c r="E8" s="6"/>
    </row>
    <row r="9" customFormat="false" ht="15" hidden="false" customHeight="false" outlineLevel="0" collapsed="false">
      <c r="A9" s="6" t="s">
        <v>19</v>
      </c>
      <c r="B9" s="10" t="n">
        <f aca="false">B7/(1+B8)</f>
        <v>140.818181818182</v>
      </c>
      <c r="C9" s="6" t="s">
        <v>14</v>
      </c>
      <c r="D9" s="6" t="s">
        <v>20</v>
      </c>
      <c r="E9" s="6"/>
    </row>
    <row r="10" customFormat="false" ht="15" hidden="false" customHeight="false" outlineLevel="0" collapsed="false">
      <c r="A10" s="5" t="s">
        <v>21</v>
      </c>
      <c r="B10" s="2"/>
      <c r="C10" s="2"/>
      <c r="D10" s="2"/>
      <c r="E10" s="2"/>
    </row>
    <row r="11" customFormat="false" ht="15" hidden="false" customHeight="false" outlineLevel="0" collapsed="false">
      <c r="A11" s="6" t="s">
        <v>22</v>
      </c>
      <c r="B11" s="7" t="n">
        <v>20000000</v>
      </c>
      <c r="C11" s="6" t="s">
        <v>23</v>
      </c>
      <c r="D11" s="6" t="s">
        <v>11</v>
      </c>
      <c r="E11" s="6" t="s">
        <v>24</v>
      </c>
    </row>
    <row r="12" customFormat="false" ht="15" hidden="false" customHeight="false" outlineLevel="0" collapsed="false">
      <c r="A12" s="6" t="s">
        <v>25</v>
      </c>
      <c r="B12" s="11" t="n">
        <v>5</v>
      </c>
      <c r="C12" s="6" t="s">
        <v>26</v>
      </c>
      <c r="D12" s="6" t="s">
        <v>27</v>
      </c>
      <c r="E12" s="6" t="s">
        <v>28</v>
      </c>
    </row>
    <row r="13" customFormat="false" ht="15" hidden="false" customHeight="false" outlineLevel="0" collapsed="false">
      <c r="A13" s="6" t="s">
        <v>29</v>
      </c>
      <c r="B13" s="11" t="n">
        <v>1</v>
      </c>
      <c r="C13" s="6" t="s">
        <v>23</v>
      </c>
      <c r="D13" s="6" t="s">
        <v>27</v>
      </c>
      <c r="E13" s="6" t="s">
        <v>30</v>
      </c>
    </row>
    <row r="14" customFormat="false" ht="15" hidden="false" customHeight="false" outlineLevel="0" collapsed="false">
      <c r="A14" s="6" t="s">
        <v>31</v>
      </c>
      <c r="B14" s="7" t="n">
        <v>4000000</v>
      </c>
      <c r="C14" s="6" t="s">
        <v>32</v>
      </c>
      <c r="D14" s="6" t="s">
        <v>11</v>
      </c>
      <c r="E14" s="6" t="s">
        <v>33</v>
      </c>
    </row>
    <row r="15" customFormat="false" ht="15" hidden="false" customHeight="false" outlineLevel="0" collapsed="false">
      <c r="A15" s="6" t="s">
        <v>34</v>
      </c>
      <c r="B15" s="9" t="n">
        <v>0.16</v>
      </c>
      <c r="C15" s="6"/>
      <c r="D15" s="6" t="s">
        <v>11</v>
      </c>
      <c r="E15" s="6" t="s">
        <v>35</v>
      </c>
    </row>
    <row r="16" customFormat="false" ht="15" hidden="false" customHeight="false" outlineLevel="0" collapsed="false">
      <c r="A16" s="6" t="s">
        <v>36</v>
      </c>
      <c r="B16" s="11" t="n">
        <v>90000</v>
      </c>
      <c r="C16" s="6" t="s">
        <v>32</v>
      </c>
      <c r="D16" s="6" t="s">
        <v>11</v>
      </c>
      <c r="E16" s="6" t="s">
        <v>37</v>
      </c>
    </row>
    <row r="17" customFormat="false" ht="15" hidden="false" customHeight="false" outlineLevel="0" collapsed="false">
      <c r="A17" s="6" t="s">
        <v>38</v>
      </c>
      <c r="B17" s="11" t="n">
        <v>400000</v>
      </c>
      <c r="C17" s="6" t="s">
        <v>32</v>
      </c>
      <c r="D17" s="6" t="s">
        <v>11</v>
      </c>
      <c r="E17" s="6" t="s">
        <v>39</v>
      </c>
    </row>
    <row r="18" customFormat="false" ht="15" hidden="false" customHeight="false" outlineLevel="0" collapsed="false">
      <c r="A18" s="6" t="s">
        <v>40</v>
      </c>
      <c r="B18" s="11" t="n">
        <v>500000</v>
      </c>
      <c r="C18" s="6" t="s">
        <v>32</v>
      </c>
      <c r="D18" s="6" t="s">
        <v>11</v>
      </c>
      <c r="E18" s="6"/>
    </row>
    <row r="19" customFormat="false" ht="15" hidden="false" customHeight="false" outlineLevel="0" collapsed="false">
      <c r="A19" s="6" t="s">
        <v>41</v>
      </c>
      <c r="B19" s="11" t="n">
        <v>300000</v>
      </c>
      <c r="C19" s="6" t="s">
        <v>32</v>
      </c>
      <c r="D19" s="6" t="s">
        <v>11</v>
      </c>
      <c r="E19" s="12" t="s">
        <v>42</v>
      </c>
    </row>
    <row r="20" customFormat="false" ht="15" hidden="false" customHeight="false" outlineLevel="0" collapsed="false">
      <c r="A20" s="6" t="s">
        <v>43</v>
      </c>
      <c r="B20" s="11" t="n">
        <v>100000</v>
      </c>
      <c r="C20" s="6" t="s">
        <v>32</v>
      </c>
      <c r="D20" s="6" t="s">
        <v>11</v>
      </c>
      <c r="E20" s="6"/>
    </row>
    <row r="21" customFormat="false" ht="15" hidden="false" customHeight="false" outlineLevel="0" collapsed="false">
      <c r="A21" s="12" t="s">
        <v>44</v>
      </c>
      <c r="B21" s="7" t="n">
        <v>50</v>
      </c>
      <c r="C21" s="12" t="s">
        <v>45</v>
      </c>
      <c r="D21" s="6" t="s">
        <v>11</v>
      </c>
      <c r="E21" s="6" t="s">
        <v>46</v>
      </c>
    </row>
    <row r="22" customFormat="false" ht="15" hidden="false" customHeight="false" outlineLevel="0" collapsed="false">
      <c r="A22" s="6" t="s">
        <v>47</v>
      </c>
      <c r="B22" s="9" t="n">
        <v>0.1</v>
      </c>
      <c r="C22" s="6"/>
      <c r="D22" s="6" t="s">
        <v>11</v>
      </c>
      <c r="E22" s="6" t="s">
        <v>48</v>
      </c>
    </row>
    <row r="23" customFormat="false" ht="15" hidden="false" customHeight="false" outlineLevel="0" collapsed="false">
      <c r="A23" s="6" t="s">
        <v>49</v>
      </c>
      <c r="B23" s="9" t="n">
        <v>0.05</v>
      </c>
      <c r="C23" s="6"/>
      <c r="D23" s="6" t="s">
        <v>11</v>
      </c>
      <c r="E23" s="6"/>
    </row>
    <row r="24" customFormat="false" ht="15" hidden="false" customHeight="false" outlineLevel="0" collapsed="false">
      <c r="A24" s="5" t="s">
        <v>50</v>
      </c>
      <c r="B24" s="2"/>
      <c r="C24" s="2"/>
      <c r="D24" s="2"/>
      <c r="E24" s="2"/>
    </row>
    <row r="25" customFormat="false" ht="15" hidden="false" customHeight="false" outlineLevel="0" collapsed="false">
      <c r="A25" s="6" t="s">
        <v>51</v>
      </c>
      <c r="B25" s="7" t="n">
        <v>26900</v>
      </c>
      <c r="C25" s="6" t="s">
        <v>52</v>
      </c>
      <c r="D25" s="6" t="s">
        <v>15</v>
      </c>
      <c r="E25" s="6" t="s">
        <v>53</v>
      </c>
    </row>
    <row r="26" customFormat="false" ht="15" hidden="false" customHeight="false" outlineLevel="0" collapsed="false">
      <c r="A26" s="6" t="s">
        <v>54</v>
      </c>
      <c r="B26" s="13" t="n">
        <v>5.9</v>
      </c>
      <c r="C26" s="12" t="s">
        <v>55</v>
      </c>
      <c r="D26" s="6" t="s">
        <v>15</v>
      </c>
      <c r="E26" s="6" t="s">
        <v>56</v>
      </c>
    </row>
    <row r="27" customFormat="false" ht="15" hidden="false" customHeight="false" outlineLevel="0" collapsed="false">
      <c r="A27" s="6" t="s">
        <v>57</v>
      </c>
      <c r="B27" s="11" t="n">
        <v>246</v>
      </c>
      <c r="C27" s="12" t="s">
        <v>58</v>
      </c>
      <c r="D27" s="6" t="s">
        <v>15</v>
      </c>
      <c r="E27" s="6" t="s">
        <v>59</v>
      </c>
    </row>
    <row r="28" customFormat="false" ht="15" hidden="false" customHeight="false" outlineLevel="0" collapsed="false">
      <c r="A28" s="6" t="s">
        <v>60</v>
      </c>
      <c r="B28" s="14" t="n">
        <v>0.04</v>
      </c>
      <c r="C28" s="12" t="s">
        <v>61</v>
      </c>
      <c r="D28" s="6" t="s">
        <v>15</v>
      </c>
      <c r="E28" s="6" t="s">
        <v>62</v>
      </c>
    </row>
    <row r="29" customFormat="false" ht="15" hidden="false" customHeight="false" outlineLevel="0" collapsed="false">
      <c r="A29" s="6" t="s">
        <v>63</v>
      </c>
      <c r="B29" s="7" t="n">
        <v>22147</v>
      </c>
      <c r="C29" s="6" t="s">
        <v>64</v>
      </c>
      <c r="D29" s="6" t="s">
        <v>15</v>
      </c>
      <c r="E29" s="6" t="s">
        <v>65</v>
      </c>
    </row>
    <row r="30" customFormat="false" ht="15" hidden="false" customHeight="false" outlineLevel="0" collapsed="false">
      <c r="A30" s="6" t="s">
        <v>66</v>
      </c>
      <c r="B30" s="11" t="n">
        <v>180</v>
      </c>
      <c r="C30" s="6" t="s">
        <v>67</v>
      </c>
      <c r="D30" s="6" t="s">
        <v>15</v>
      </c>
      <c r="E30" s="6" t="s">
        <v>68</v>
      </c>
    </row>
    <row r="31" customFormat="false" ht="15" hidden="false" customHeight="false" outlineLevel="0" collapsed="false">
      <c r="A31" s="6" t="s">
        <v>69</v>
      </c>
      <c r="B31" s="11" t="n">
        <v>140</v>
      </c>
      <c r="C31" s="6" t="s">
        <v>67</v>
      </c>
      <c r="D31" s="6" t="s">
        <v>15</v>
      </c>
      <c r="E31" s="6" t="s">
        <v>68</v>
      </c>
    </row>
    <row r="32" customFormat="false" ht="15" hidden="false" customHeight="false" outlineLevel="0" collapsed="false">
      <c r="A32" s="6" t="s">
        <v>70</v>
      </c>
      <c r="B32" s="15" t="n">
        <v>0.2</v>
      </c>
      <c r="C32" s="6"/>
      <c r="D32" s="6" t="s">
        <v>11</v>
      </c>
      <c r="E32" s="6" t="s">
        <v>71</v>
      </c>
    </row>
    <row r="33" customFormat="false" ht="15" hidden="false" customHeight="false" outlineLevel="0" collapsed="false">
      <c r="A33" s="5" t="s">
        <v>72</v>
      </c>
      <c r="B33" s="2"/>
      <c r="C33" s="2"/>
      <c r="D33" s="2"/>
      <c r="E33" s="2"/>
    </row>
    <row r="34" customFormat="false" ht="15" hidden="false" customHeight="false" outlineLevel="0" collapsed="false">
      <c r="A34" s="6" t="s">
        <v>73</v>
      </c>
      <c r="B34" s="11" t="n">
        <v>52610</v>
      </c>
      <c r="C34" s="6" t="s">
        <v>23</v>
      </c>
      <c r="D34" s="6" t="s">
        <v>15</v>
      </c>
      <c r="E34" s="6" t="s">
        <v>74</v>
      </c>
    </row>
    <row r="35" customFormat="false" ht="15" hidden="false" customHeight="false" outlineLevel="0" collapsed="false">
      <c r="A35" s="6" t="s">
        <v>75</v>
      </c>
      <c r="B35" s="9" t="n">
        <v>0.2</v>
      </c>
      <c r="C35" s="6"/>
      <c r="D35" s="6" t="s">
        <v>15</v>
      </c>
      <c r="E35" s="6" t="s">
        <v>76</v>
      </c>
    </row>
    <row r="36" customFormat="false" ht="15" hidden="false" customHeight="false" outlineLevel="0" collapsed="false">
      <c r="A36" s="6" t="s">
        <v>77</v>
      </c>
      <c r="B36" s="11" t="n">
        <v>3130</v>
      </c>
      <c r="C36" s="6" t="s">
        <v>78</v>
      </c>
      <c r="D36" s="6" t="s">
        <v>15</v>
      </c>
      <c r="E36" s="6" t="s">
        <v>68</v>
      </c>
    </row>
    <row r="37" customFormat="false" ht="15" hidden="false" customHeight="false" outlineLevel="0" collapsed="false">
      <c r="A37" s="6" t="s">
        <v>79</v>
      </c>
      <c r="B37" s="11" t="n">
        <v>630</v>
      </c>
      <c r="C37" s="6" t="s">
        <v>80</v>
      </c>
      <c r="D37" s="6" t="s">
        <v>15</v>
      </c>
      <c r="E37" s="6"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4" min="3" style="0" width="14"/>
    <col collapsed="false" customWidth="true" hidden="false" outlineLevel="0" max="5" min="5" style="0" width="9"/>
    <col collapsed="false" customWidth="true" hidden="false" outlineLevel="0" max="6" min="6" style="0" width="40"/>
  </cols>
  <sheetData>
    <row r="1" customFormat="false" ht="17.15" hidden="false" customHeight="false" outlineLevel="0" collapsed="false">
      <c r="A1" s="1" t="s">
        <v>81</v>
      </c>
      <c r="B1" s="2"/>
      <c r="C1" s="2"/>
      <c r="D1" s="2"/>
      <c r="E1" s="2"/>
      <c r="F1" s="2"/>
    </row>
    <row r="2" customFormat="false" ht="15" hidden="false" customHeight="false" outlineLevel="0" collapsed="false">
      <c r="A2" s="3" t="s">
        <v>82</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6</v>
      </c>
      <c r="B4" s="4" t="s">
        <v>83</v>
      </c>
      <c r="C4" s="4" t="s">
        <v>84</v>
      </c>
      <c r="D4" s="16" t="s">
        <v>85</v>
      </c>
      <c r="E4" s="4" t="s">
        <v>86</v>
      </c>
      <c r="F4" s="4" t="s">
        <v>87</v>
      </c>
    </row>
    <row r="5" customFormat="false" ht="15" hidden="false" customHeight="false" outlineLevel="0" collapsed="false">
      <c r="A5" s="17" t="s">
        <v>88</v>
      </c>
      <c r="B5" s="17" t="s">
        <v>89</v>
      </c>
      <c r="C5" s="18" t="n">
        <f aca="false">(前提条件!$B$11-前提条件!$B$13)/前提条件!$B$12</f>
        <v>3999999.8</v>
      </c>
      <c r="D5" s="19" t="n">
        <f aca="false">C5/前提条件!$B$6</f>
        <v>15999.9992</v>
      </c>
      <c r="E5" s="20" t="n">
        <f aca="false">D5/$D$17</f>
        <v>0.293735079797933</v>
      </c>
      <c r="F5" s="21" t="s">
        <v>90</v>
      </c>
    </row>
    <row r="6" customFormat="false" ht="15" hidden="false" customHeight="false" outlineLevel="0" collapsed="false">
      <c r="A6" s="17" t="s">
        <v>88</v>
      </c>
      <c r="B6" s="17" t="s">
        <v>91</v>
      </c>
      <c r="C6" s="18" t="n">
        <f aca="false">前提条件!$B$14</f>
        <v>4000000</v>
      </c>
      <c r="D6" s="19" t="n">
        <f aca="false">C6/前提条件!$B$6</f>
        <v>16000</v>
      </c>
      <c r="E6" s="20" t="n">
        <f aca="false">D6/$D$17</f>
        <v>0.293735094484687</v>
      </c>
      <c r="F6" s="17" t="s">
        <v>92</v>
      </c>
    </row>
    <row r="7" customFormat="false" ht="15" hidden="false" customHeight="false" outlineLevel="0" collapsed="false">
      <c r="A7" s="17" t="s">
        <v>88</v>
      </c>
      <c r="B7" s="17" t="s">
        <v>93</v>
      </c>
      <c r="C7" s="18" t="n">
        <f aca="false">前提条件!$B$14*前提条件!$B$15</f>
        <v>640000</v>
      </c>
      <c r="D7" s="19" t="n">
        <f aca="false">C7/前提条件!$B$6</f>
        <v>2560</v>
      </c>
      <c r="E7" s="20" t="n">
        <f aca="false">D7/$D$17</f>
        <v>0.04699761511755</v>
      </c>
      <c r="F7" s="17" t="s">
        <v>94</v>
      </c>
    </row>
    <row r="8" customFormat="false" ht="15" hidden="false" customHeight="false" outlineLevel="0" collapsed="false">
      <c r="A8" s="17" t="s">
        <v>88</v>
      </c>
      <c r="B8" s="17" t="s">
        <v>95</v>
      </c>
      <c r="C8" s="18" t="n">
        <f aca="false">前提条件!$B$16</f>
        <v>90000</v>
      </c>
      <c r="D8" s="19" t="n">
        <f aca="false">C8/前提条件!$B$6</f>
        <v>360</v>
      </c>
      <c r="E8" s="20" t="n">
        <f aca="false">D8/$D$17</f>
        <v>0.00660903962590546</v>
      </c>
      <c r="F8" s="21"/>
    </row>
    <row r="9" customFormat="false" ht="15" hidden="false" customHeight="false" outlineLevel="0" collapsed="false">
      <c r="A9" s="17" t="s">
        <v>88</v>
      </c>
      <c r="B9" s="17" t="s">
        <v>96</v>
      </c>
      <c r="C9" s="18" t="n">
        <f aca="false">前提条件!$B$17</f>
        <v>400000</v>
      </c>
      <c r="D9" s="19" t="n">
        <f aca="false">C9/前提条件!$B$6</f>
        <v>1600</v>
      </c>
      <c r="E9" s="20" t="n">
        <f aca="false">D9/$D$17</f>
        <v>0.0293735094484687</v>
      </c>
      <c r="F9" s="21"/>
    </row>
    <row r="10" customFormat="false" ht="15" hidden="false" customHeight="false" outlineLevel="0" collapsed="false">
      <c r="A10" s="17" t="s">
        <v>97</v>
      </c>
      <c r="B10" s="17" t="s">
        <v>98</v>
      </c>
      <c r="C10" s="18" t="n">
        <f aca="false">前提条件!$B$18</f>
        <v>500000</v>
      </c>
      <c r="D10" s="19" t="n">
        <f aca="false">C10/前提条件!$B$6</f>
        <v>2000</v>
      </c>
      <c r="E10" s="20" t="n">
        <f aca="false">D10/$D$17</f>
        <v>0.0367168868105859</v>
      </c>
      <c r="F10" s="21"/>
    </row>
    <row r="11" customFormat="false" ht="15" hidden="false" customHeight="false" outlineLevel="0" collapsed="false">
      <c r="A11" s="17" t="s">
        <v>97</v>
      </c>
      <c r="B11" s="17" t="s">
        <v>99</v>
      </c>
      <c r="C11" s="18" t="n">
        <f aca="false">前提条件!$B$19</f>
        <v>300000</v>
      </c>
      <c r="D11" s="19" t="n">
        <f aca="false">C11/前提条件!$B$6</f>
        <v>1200</v>
      </c>
      <c r="E11" s="20" t="n">
        <f aca="false">D11/$D$17</f>
        <v>0.0220301320863516</v>
      </c>
      <c r="F11" s="21"/>
    </row>
    <row r="12" customFormat="false" ht="15" hidden="false" customHeight="false" outlineLevel="0" collapsed="false">
      <c r="A12" s="17" t="s">
        <v>97</v>
      </c>
      <c r="B12" s="17" t="s">
        <v>100</v>
      </c>
      <c r="C12" s="18" t="n">
        <f aca="false">前提条件!$B$20</f>
        <v>100000</v>
      </c>
      <c r="D12" s="19" t="n">
        <f aca="false">C12/前提条件!$B$6</f>
        <v>400</v>
      </c>
      <c r="E12" s="20" t="n">
        <f aca="false">D12/$D$17</f>
        <v>0.00734337736211718</v>
      </c>
      <c r="F12" s="21"/>
    </row>
    <row r="13" customFormat="false" ht="15" hidden="false" customHeight="false" outlineLevel="0" collapsed="false">
      <c r="A13" s="17" t="s">
        <v>101</v>
      </c>
      <c r="B13" s="17" t="s">
        <v>102</v>
      </c>
      <c r="C13" s="18" t="n">
        <f aca="false">前提条件!$B$21*前提条件!$B$9*前提条件!$B$6</f>
        <v>1760227.27272727</v>
      </c>
      <c r="D13" s="19" t="n">
        <f aca="false">C13/前提条件!$B$6</f>
        <v>7040.90909090909</v>
      </c>
      <c r="E13" s="20" t="n">
        <f aca="false">D13/$D$17</f>
        <v>0.129260131067267</v>
      </c>
      <c r="F13" s="17" t="s">
        <v>103</v>
      </c>
    </row>
    <row r="14" customFormat="false" ht="15" hidden="false" customHeight="false" outlineLevel="0" collapsed="false">
      <c r="A14" s="21"/>
      <c r="B14" s="17" t="s">
        <v>104</v>
      </c>
      <c r="C14" s="22" t="n">
        <f aca="false">SUM(C5:C13)</f>
        <v>11790227.0727273</v>
      </c>
      <c r="D14" s="22" t="n">
        <f aca="false">SUM(D5:D13)</f>
        <v>47160.9082909091</v>
      </c>
      <c r="E14" s="23" t="n">
        <f aca="false">D14/$D$17</f>
        <v>0.865800865800866</v>
      </c>
      <c r="F14" s="21"/>
    </row>
    <row r="15" customFormat="false" ht="15" hidden="false" customHeight="false" outlineLevel="0" collapsed="false">
      <c r="A15" s="17" t="s">
        <v>105</v>
      </c>
      <c r="B15" s="17" t="s">
        <v>106</v>
      </c>
      <c r="C15" s="22" t="n">
        <f aca="false">C14*前提条件!$B$22</f>
        <v>1179022.70727273</v>
      </c>
      <c r="D15" s="22" t="n">
        <f aca="false">D14*前提条件!$B$22</f>
        <v>4716.09082909091</v>
      </c>
      <c r="E15" s="20" t="n">
        <f aca="false">D15/$D$17</f>
        <v>0.0865800865800866</v>
      </c>
      <c r="F15" s="17" t="s">
        <v>107</v>
      </c>
    </row>
    <row r="16" customFormat="false" ht="15" hidden="false" customHeight="false" outlineLevel="0" collapsed="false">
      <c r="A16" s="17" t="s">
        <v>108</v>
      </c>
      <c r="B16" s="17" t="s">
        <v>109</v>
      </c>
      <c r="C16" s="22" t="n">
        <f aca="false">(C14+C15)*前提条件!$B$23</f>
        <v>648462.489</v>
      </c>
      <c r="D16" s="22" t="n">
        <f aca="false">(D14+D15)*前提条件!$B$23</f>
        <v>2593.849956</v>
      </c>
      <c r="E16" s="20" t="n">
        <f aca="false">D16/$D$17</f>
        <v>0.0476190476190476</v>
      </c>
      <c r="F16" s="21" t="s">
        <v>110</v>
      </c>
    </row>
    <row r="17" customFormat="false" ht="15" hidden="false" customHeight="false" outlineLevel="0" collapsed="false">
      <c r="A17" s="24"/>
      <c r="B17" s="25" t="s">
        <v>111</v>
      </c>
      <c r="C17" s="26" t="n">
        <f aca="false">C14+C15+C16</f>
        <v>13617712.269</v>
      </c>
      <c r="D17" s="26" t="n">
        <f aca="false">D14+D15+D16</f>
        <v>54470.849076</v>
      </c>
      <c r="E17" s="27" t="n">
        <f aca="false">D17/$D$17</f>
        <v>1</v>
      </c>
      <c r="F17" s="24"/>
    </row>
    <row r="18" customFormat="false" ht="15" hidden="false" customHeight="false" outlineLevel="0" collapsed="false">
      <c r="A18" s="21"/>
      <c r="B18" s="17" t="s">
        <v>112</v>
      </c>
      <c r="C18" s="22"/>
      <c r="D18" s="22" t="n">
        <f aca="false">D17*(1+前提条件!$B$8)</f>
        <v>59917.9339836</v>
      </c>
      <c r="E18" s="21"/>
      <c r="F18" s="21"/>
    </row>
    <row r="19" customFormat="false" ht="15" hidden="false" customHeight="false" outlineLevel="0" collapsed="false">
      <c r="A19" s="2"/>
      <c r="B19" s="2"/>
      <c r="C19" s="2"/>
      <c r="D19" s="2"/>
      <c r="E19" s="2"/>
      <c r="F19" s="2"/>
    </row>
    <row r="20" customFormat="false" ht="15" hidden="false" customHeight="false" outlineLevel="0" collapsed="false">
      <c r="A20" s="5" t="s">
        <v>113</v>
      </c>
      <c r="B20" s="2"/>
      <c r="C20" s="2"/>
      <c r="D20" s="2"/>
      <c r="E20" s="2"/>
      <c r="F20" s="2"/>
    </row>
    <row r="21" customFormat="false" ht="15" hidden="false" customHeight="false" outlineLevel="0" collapsed="false">
      <c r="A21" s="28" t="s">
        <v>114</v>
      </c>
      <c r="B21" s="2"/>
      <c r="C21" s="2"/>
      <c r="D21" s="2"/>
      <c r="E21" s="2"/>
      <c r="F21" s="2"/>
    </row>
    <row r="22" customFormat="false" ht="15" hidden="false" customHeight="false" outlineLevel="0" collapsed="false">
      <c r="A22" s="28" t="s">
        <v>115</v>
      </c>
      <c r="B22" s="2"/>
      <c r="C22" s="2"/>
      <c r="D22" s="2"/>
      <c r="E22" s="2"/>
      <c r="F22" s="2"/>
    </row>
    <row r="23" customFormat="false" ht="15" hidden="false" customHeight="false" outlineLevel="0" collapsed="false">
      <c r="A23" s="28" t="s">
        <v>116</v>
      </c>
      <c r="B23" s="2"/>
      <c r="C23" s="2"/>
      <c r="D23" s="2"/>
      <c r="E23" s="2"/>
      <c r="F2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8"/>
    <col collapsed="false" customWidth="true" hidden="false" outlineLevel="0" max="4" min="4" style="0" width="12"/>
    <col collapsed="false" customWidth="true" hidden="false" outlineLevel="0" max="5" min="5" style="0" width="14"/>
    <col collapsed="false" customWidth="true" hidden="false" outlineLevel="0" max="6" min="6" style="0" width="9"/>
    <col collapsed="false" customWidth="true" hidden="false" outlineLevel="0" max="7" min="7" style="0" width="44"/>
  </cols>
  <sheetData>
    <row r="1" customFormat="false" ht="17.15" hidden="false" customHeight="false" outlineLevel="0" collapsed="false">
      <c r="A1" s="1" t="s">
        <v>117</v>
      </c>
      <c r="B1" s="2"/>
      <c r="C1" s="2"/>
      <c r="D1" s="2"/>
      <c r="E1" s="2"/>
      <c r="F1" s="2"/>
      <c r="G1" s="2"/>
    </row>
    <row r="2" customFormat="false" ht="15" hidden="false" customHeight="false" outlineLevel="0" collapsed="false">
      <c r="A2" s="3" t="s">
        <v>118</v>
      </c>
      <c r="B2" s="2"/>
      <c r="C2" s="2"/>
      <c r="D2" s="2"/>
      <c r="E2" s="2"/>
      <c r="F2" s="2"/>
      <c r="G2" s="2"/>
    </row>
    <row r="3" customFormat="false" ht="15" hidden="false" customHeight="false" outlineLevel="0" collapsed="false">
      <c r="A3" s="2"/>
      <c r="B3" s="2"/>
      <c r="C3" s="2"/>
      <c r="D3" s="2"/>
      <c r="E3" s="2"/>
      <c r="F3" s="2"/>
      <c r="G3" s="2"/>
    </row>
    <row r="4" customFormat="false" ht="15" hidden="false" customHeight="false" outlineLevel="0" collapsed="false">
      <c r="A4" s="4" t="s">
        <v>119</v>
      </c>
      <c r="B4" s="4" t="s">
        <v>120</v>
      </c>
      <c r="C4" s="4" t="s">
        <v>5</v>
      </c>
      <c r="D4" s="4" t="s">
        <v>121</v>
      </c>
      <c r="E4" s="4" t="s">
        <v>122</v>
      </c>
      <c r="F4" s="4" t="s">
        <v>86</v>
      </c>
      <c r="G4" s="4" t="s">
        <v>123</v>
      </c>
    </row>
    <row r="5" customFormat="false" ht="15" hidden="false" customHeight="false" outlineLevel="0" collapsed="false">
      <c r="A5" s="6" t="s">
        <v>124</v>
      </c>
      <c r="B5" s="29" t="n">
        <f aca="false">1</f>
        <v>1</v>
      </c>
      <c r="C5" s="6" t="s">
        <v>125</v>
      </c>
      <c r="D5" s="30" t="n">
        <f aca="false">前提条件!$B$25</f>
        <v>26900</v>
      </c>
      <c r="E5" s="19" t="n">
        <f aca="false">B5*D5</f>
        <v>26900</v>
      </c>
      <c r="F5" s="20" t="n">
        <f aca="false">E5/$E$10</f>
        <v>0.352740320844015</v>
      </c>
      <c r="G5" s="6" t="s">
        <v>126</v>
      </c>
    </row>
    <row r="6" customFormat="false" ht="15" hidden="false" customHeight="false" outlineLevel="0" collapsed="false">
      <c r="A6" s="6" t="s">
        <v>127</v>
      </c>
      <c r="B6" s="31" t="n">
        <f aca="false">前提条件!$B$27*前提条件!$B$28*前提条件!$B$26</f>
        <v>58.056</v>
      </c>
      <c r="C6" s="12" t="s">
        <v>128</v>
      </c>
      <c r="D6" s="30" t="n">
        <f aca="false">前提条件!$B$9</f>
        <v>140.818181818182</v>
      </c>
      <c r="E6" s="19" t="n">
        <f aca="false">B6*D6</f>
        <v>8175.34036363636</v>
      </c>
      <c r="F6" s="20" t="n">
        <f aca="false">E6/$E$10</f>
        <v>0.107203426872793</v>
      </c>
      <c r="G6" s="6" t="s">
        <v>129</v>
      </c>
    </row>
    <row r="7" customFormat="false" ht="15" hidden="false" customHeight="false" outlineLevel="0" collapsed="false">
      <c r="A7" s="6" t="s">
        <v>130</v>
      </c>
      <c r="B7" s="31" t="n">
        <f aca="false">前提条件!$B$30/前提条件!$B$31</f>
        <v>1.28571428571429</v>
      </c>
      <c r="C7" s="6" t="s">
        <v>131</v>
      </c>
      <c r="D7" s="30" t="n">
        <f aca="false">前提条件!$B$29</f>
        <v>22147</v>
      </c>
      <c r="E7" s="19" t="n">
        <f aca="false">B7*D7</f>
        <v>28474.7142857143</v>
      </c>
      <c r="F7" s="20" t="n">
        <f aca="false">E7/$E$10</f>
        <v>0.373389585616525</v>
      </c>
      <c r="G7" s="6" t="s">
        <v>132</v>
      </c>
    </row>
    <row r="8" customFormat="false" ht="15" hidden="false" customHeight="false" outlineLevel="0" collapsed="false">
      <c r="A8" s="32" t="s">
        <v>133</v>
      </c>
      <c r="B8" s="21"/>
      <c r="C8" s="21"/>
      <c r="D8" s="21"/>
      <c r="E8" s="33" t="n">
        <f aca="false">SUM(E5:E7)</f>
        <v>63550.0546493507</v>
      </c>
      <c r="F8" s="23" t="n">
        <f aca="false">E8/$E$10</f>
        <v>0.833333333333333</v>
      </c>
      <c r="G8" s="21"/>
    </row>
    <row r="9" customFormat="false" ht="15" hidden="false" customHeight="false" outlineLevel="0" collapsed="false">
      <c r="A9" s="6" t="s">
        <v>134</v>
      </c>
      <c r="B9" s="21"/>
      <c r="C9" s="21"/>
      <c r="D9" s="21"/>
      <c r="E9" s="19" t="n">
        <f aca="false">E8*前提条件!$B$32</f>
        <v>12710.0109298701</v>
      </c>
      <c r="F9" s="20" t="n">
        <f aca="false">E9/$E$10</f>
        <v>0.166666666666667</v>
      </c>
      <c r="G9" s="6" t="s">
        <v>135</v>
      </c>
    </row>
    <row r="10" customFormat="false" ht="15" hidden="false" customHeight="false" outlineLevel="0" collapsed="false">
      <c r="A10" s="34" t="s">
        <v>136</v>
      </c>
      <c r="B10" s="24"/>
      <c r="C10" s="24"/>
      <c r="D10" s="24"/>
      <c r="E10" s="35" t="n">
        <f aca="false">E8+E9</f>
        <v>76260.0655792208</v>
      </c>
      <c r="F10" s="27" t="n">
        <f aca="false">E10/$E$10</f>
        <v>1</v>
      </c>
      <c r="G10" s="24"/>
    </row>
    <row r="11" customFormat="false" ht="15" hidden="false" customHeight="false" outlineLevel="0" collapsed="false">
      <c r="A11" s="6" t="s">
        <v>112</v>
      </c>
      <c r="B11" s="21"/>
      <c r="C11" s="21"/>
      <c r="D11" s="21"/>
      <c r="E11" s="19" t="n">
        <f aca="false">E10*(1+前提条件!$B$8)</f>
        <v>83886.0721371429</v>
      </c>
      <c r="F11" s="21"/>
      <c r="G11" s="21"/>
    </row>
    <row r="12" customFormat="false" ht="15" hidden="false" customHeight="false" outlineLevel="0" collapsed="false">
      <c r="A12" s="2"/>
      <c r="B12" s="2"/>
      <c r="C12" s="2"/>
      <c r="D12" s="2"/>
      <c r="E12" s="2"/>
      <c r="F12" s="2"/>
      <c r="G12" s="2"/>
    </row>
    <row r="13" customFormat="false" ht="15" hidden="false" customHeight="false" outlineLevel="0" collapsed="false">
      <c r="A13" s="5" t="s">
        <v>113</v>
      </c>
      <c r="B13" s="2"/>
      <c r="C13" s="2"/>
      <c r="D13" s="2"/>
      <c r="E13" s="2"/>
      <c r="F13" s="2"/>
      <c r="G13" s="2"/>
    </row>
    <row r="14" customFormat="false" ht="15" hidden="false" customHeight="false" outlineLevel="0" collapsed="false">
      <c r="A14" s="28" t="s">
        <v>137</v>
      </c>
      <c r="B14" s="2"/>
      <c r="C14" s="2"/>
      <c r="D14" s="2"/>
      <c r="E14" s="2"/>
      <c r="F14" s="2"/>
      <c r="G14" s="2"/>
    </row>
    <row r="15" customFormat="false" ht="15" hidden="false" customHeight="false" outlineLevel="0" collapsed="false">
      <c r="A15" s="28" t="s">
        <v>138</v>
      </c>
      <c r="B15" s="2"/>
      <c r="C15" s="2"/>
      <c r="D15" s="2"/>
      <c r="E15" s="2"/>
      <c r="F15" s="2"/>
      <c r="G15" s="2"/>
    </row>
    <row r="16" customFormat="false" ht="15" hidden="false" customHeight="false" outlineLevel="0" collapsed="false">
      <c r="A16" s="28" t="s">
        <v>139</v>
      </c>
      <c r="B16" s="2"/>
      <c r="C16" s="2"/>
      <c r="D16" s="2"/>
      <c r="E16" s="2"/>
      <c r="F16" s="2"/>
      <c r="G1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50"/>
    <col collapsed="false" customWidth="true" hidden="false" outlineLevel="0" max="4" min="4" style="0" width="14"/>
  </cols>
  <sheetData>
    <row r="1" customFormat="false" ht="17.15" hidden="false" customHeight="false" outlineLevel="0" collapsed="false">
      <c r="A1" s="1" t="s">
        <v>140</v>
      </c>
      <c r="B1" s="2"/>
      <c r="C1" s="2"/>
      <c r="D1" s="2"/>
    </row>
    <row r="2" customFormat="false" ht="15" hidden="false" customHeight="false" outlineLevel="0" collapsed="false">
      <c r="A2" s="2"/>
      <c r="B2" s="2"/>
      <c r="C2" s="2"/>
      <c r="D2" s="2"/>
    </row>
    <row r="3" customFormat="false" ht="15" hidden="false" customHeight="false" outlineLevel="0" collapsed="false">
      <c r="A3" s="4" t="s">
        <v>141</v>
      </c>
      <c r="B3" s="16" t="s">
        <v>85</v>
      </c>
      <c r="C3" s="4" t="s">
        <v>123</v>
      </c>
      <c r="D3" s="2"/>
    </row>
    <row r="4" customFormat="false" ht="15" hidden="false" customHeight="false" outlineLevel="0" collapsed="false">
      <c r="A4" s="6" t="s">
        <v>142</v>
      </c>
      <c r="B4" s="18" t="n">
        <f aca="false">A_事業者原価!$D$17</f>
        <v>54470.849076</v>
      </c>
      <c r="C4" s="12" t="s">
        <v>143</v>
      </c>
      <c r="D4" s="2"/>
    </row>
    <row r="5" customFormat="false" ht="15" hidden="false" customHeight="false" outlineLevel="0" collapsed="false">
      <c r="A5" s="6" t="s">
        <v>144</v>
      </c>
      <c r="B5" s="18" t="n">
        <f aca="false">B_公共積算!$E$10</f>
        <v>76260.0655792208</v>
      </c>
      <c r="C5" s="12" t="s">
        <v>145</v>
      </c>
      <c r="D5" s="2"/>
    </row>
    <row r="6" customFormat="false" ht="15" hidden="false" customHeight="false" outlineLevel="0" collapsed="false">
      <c r="A6" s="6" t="s">
        <v>146</v>
      </c>
      <c r="B6" s="18" t="n">
        <f aca="false">前提条件!$B$34*(1+前提条件!$B$35)</f>
        <v>63132</v>
      </c>
      <c r="C6" s="6" t="s">
        <v>147</v>
      </c>
      <c r="D6" s="2"/>
    </row>
    <row r="7" customFormat="false" ht="15" hidden="false" customHeight="false" outlineLevel="0" collapsed="false">
      <c r="A7" s="6" t="s">
        <v>148</v>
      </c>
      <c r="B7" s="11" t="n">
        <v>36000</v>
      </c>
      <c r="C7" s="6" t="s">
        <v>149</v>
      </c>
      <c r="D7" s="2"/>
    </row>
    <row r="8" customFormat="false" ht="15" hidden="false" customHeight="false" outlineLevel="0" collapsed="false">
      <c r="A8" s="6" t="s">
        <v>150</v>
      </c>
      <c r="B8" s="11" t="n">
        <v>50000</v>
      </c>
      <c r="C8" s="6" t="s">
        <v>151</v>
      </c>
      <c r="D8" s="2"/>
    </row>
    <row r="9" customFormat="false" ht="15" hidden="false" customHeight="false" outlineLevel="0" collapsed="false">
      <c r="A9" s="2"/>
      <c r="B9" s="2"/>
      <c r="C9" s="2"/>
      <c r="D9" s="2"/>
    </row>
    <row r="10" customFormat="false" ht="15" hidden="false" customHeight="false" outlineLevel="0" collapsed="false">
      <c r="A10" s="5" t="s">
        <v>152</v>
      </c>
      <c r="B10" s="2"/>
      <c r="C10" s="2"/>
      <c r="D10" s="2"/>
    </row>
    <row r="11" customFormat="false" ht="15" hidden="false" customHeight="false" outlineLevel="0" collapsed="false">
      <c r="A11" s="4" t="s">
        <v>9</v>
      </c>
      <c r="B11" s="4" t="s">
        <v>153</v>
      </c>
      <c r="C11" s="4" t="s">
        <v>154</v>
      </c>
      <c r="D11" s="4" t="s">
        <v>155</v>
      </c>
    </row>
    <row r="12" customFormat="false" ht="15" hidden="false" customHeight="false" outlineLevel="0" collapsed="false">
      <c r="A12" s="36" t="n">
        <v>150</v>
      </c>
      <c r="B12" s="18" t="n">
        <f aca="false">(SUM(A_事業者原価!$C$5:$C$12)/A12+(前提条件!$B$21*前提条件!$B$9))*(1+前提条件!$B$22)*(1+前提条件!$B$23)</f>
        <v>85363.24846</v>
      </c>
      <c r="C12" s="18" t="n">
        <f aca="false">((SUM(A_事業者原価!$C$5:$C$12)-A_事業者原価!$C$5)/A12+(前提条件!$B$21*前提条件!$B$9))*(1+前提条件!$B$22)*(1+前提条件!$B$23)</f>
        <v>54563.25</v>
      </c>
      <c r="D12" s="19" t="n">
        <f aca="false">B12-C12</f>
        <v>30799.99846</v>
      </c>
    </row>
    <row r="13" customFormat="false" ht="15" hidden="false" customHeight="false" outlineLevel="0" collapsed="false">
      <c r="A13" s="36" t="n">
        <v>200</v>
      </c>
      <c r="B13" s="18" t="n">
        <f aca="false">(SUM(A_事業者原価!$C$5:$C$12)/A13+(前提条件!$B$21*前提条件!$B$9))*(1+前提条件!$B$22)*(1+前提条件!$B$23)</f>
        <v>66055.498845</v>
      </c>
      <c r="C13" s="18" t="n">
        <f aca="false">((SUM(A_事業者原価!$C$5:$C$12)-A_事業者原価!$C$5)/A13+(前提条件!$B$21*前提条件!$B$9))*(1+前提条件!$B$22)*(1+前提条件!$B$23)</f>
        <v>42955.5</v>
      </c>
      <c r="D13" s="19" t="n">
        <f aca="false">B13-C13</f>
        <v>23099.998845</v>
      </c>
    </row>
    <row r="14" customFormat="false" ht="15" hidden="false" customHeight="false" outlineLevel="0" collapsed="false">
      <c r="A14" s="36" t="n">
        <v>225</v>
      </c>
      <c r="B14" s="18" t="n">
        <f aca="false">(SUM(A_事業者原価!$C$5:$C$12)/A14+(前提条件!$B$21*前提条件!$B$9))*(1+前提条件!$B$22)*(1+前提条件!$B$23)</f>
        <v>59619.5823066667</v>
      </c>
      <c r="C14" s="18" t="n">
        <f aca="false">((SUM(A_事業者原価!$C$5:$C$12)-A_事業者原価!$C$5)/A14+(前提条件!$B$21*前提条件!$B$9))*(1+前提条件!$B$22)*(1+前提条件!$B$23)</f>
        <v>39086.25</v>
      </c>
      <c r="D14" s="19" t="n">
        <f aca="false">B14-C14</f>
        <v>20533.3323066667</v>
      </c>
    </row>
    <row r="15" customFormat="false" ht="15" hidden="false" customHeight="false" outlineLevel="0" collapsed="false">
      <c r="A15" s="36" t="n">
        <v>250</v>
      </c>
      <c r="B15" s="18" t="n">
        <f aca="false">(SUM(A_事業者原価!$C$5:$C$12)/A15+(前提条件!$B$21*前提条件!$B$9))*(1+前提条件!$B$22)*(1+前提条件!$B$23)</f>
        <v>54470.849076</v>
      </c>
      <c r="C15" s="18" t="n">
        <f aca="false">((SUM(A_事業者原価!$C$5:$C$12)-A_事業者原価!$C$5)/A15+(前提条件!$B$21*前提条件!$B$9))*(1+前提条件!$B$22)*(1+前提条件!$B$23)</f>
        <v>35990.85</v>
      </c>
      <c r="D15" s="19" t="n">
        <f aca="false">B15-C15</f>
        <v>18479.999076</v>
      </c>
    </row>
    <row r="16" customFormat="false" ht="15" hidden="false" customHeight="false" outlineLevel="0" collapsed="false">
      <c r="A16" s="36" t="n">
        <v>275</v>
      </c>
      <c r="B16" s="18" t="n">
        <f aca="false">(SUM(A_事業者原価!$C$5:$C$12)/A16+(前提条件!$B$21*前提条件!$B$9))*(1+前提条件!$B$22)*(1+前提条件!$B$23)</f>
        <v>50258.24916</v>
      </c>
      <c r="C16" s="18" t="n">
        <f aca="false">((SUM(A_事業者原価!$C$5:$C$12)-A_事業者原価!$C$5)/A16+(前提条件!$B$21*前提条件!$B$9))*(1+前提条件!$B$22)*(1+前提条件!$B$23)</f>
        <v>33458.25</v>
      </c>
      <c r="D16" s="19" t="n">
        <f aca="false">B16-C16</f>
        <v>16799.99916</v>
      </c>
    </row>
    <row r="17" customFormat="false" ht="15" hidden="false" customHeight="false" outlineLevel="0" collapsed="false">
      <c r="A17" s="2"/>
      <c r="B17" s="2"/>
      <c r="C17" s="2"/>
      <c r="D17" s="2"/>
    </row>
    <row r="18" customFormat="false" ht="15" hidden="false" customHeight="false" outlineLevel="0" collapsed="false">
      <c r="A18" s="5" t="s">
        <v>156</v>
      </c>
      <c r="B18" s="2"/>
      <c r="C18" s="2"/>
      <c r="D18" s="2"/>
    </row>
    <row r="19" customFormat="false" ht="15" hidden="false" customHeight="false" outlineLevel="0" collapsed="false">
      <c r="A19" s="28" t="s">
        <v>157</v>
      </c>
      <c r="B19" s="2"/>
      <c r="C19" s="2"/>
      <c r="D19" s="2"/>
    </row>
    <row r="20" customFormat="false" ht="15" hidden="false" customHeight="false" outlineLevel="0" collapsed="false">
      <c r="A20" s="28" t="s">
        <v>158</v>
      </c>
      <c r="B20" s="2"/>
      <c r="C20" s="2"/>
      <c r="D20" s="2"/>
    </row>
    <row r="21" customFormat="false" ht="15" hidden="false" customHeight="false" outlineLevel="0" collapsed="false">
      <c r="A21" s="28" t="s">
        <v>159</v>
      </c>
      <c r="B21" s="2"/>
      <c r="C21" s="2"/>
      <c r="D21" s="2"/>
    </row>
    <row r="22" customFormat="false" ht="15" hidden="false" customHeight="false" outlineLevel="0" collapsed="false">
      <c r="A22" s="28" t="s">
        <v>160</v>
      </c>
      <c r="B22" s="2"/>
      <c r="C22" s="2"/>
      <c r="D2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00"/>
  </cols>
  <sheetData>
    <row r="1" customFormat="false" ht="16.15" hidden="false" customHeight="false" outlineLevel="0" collapsed="false">
      <c r="A1" s="1" t="s">
        <v>161</v>
      </c>
      <c r="B1" s="2"/>
    </row>
    <row r="2" customFormat="false" ht="15" hidden="false" customHeight="false" outlineLevel="0" collapsed="false">
      <c r="A2" s="2"/>
      <c r="B2" s="2"/>
    </row>
    <row r="3" customFormat="false" ht="15" hidden="false" customHeight="false" outlineLevel="0" collapsed="false">
      <c r="A3" s="28" t="s">
        <v>162</v>
      </c>
      <c r="B3" s="37" t="s">
        <v>163</v>
      </c>
    </row>
    <row r="4" customFormat="false" ht="14.15" hidden="false" customHeight="false" outlineLevel="0" collapsed="false">
      <c r="A4" s="28" t="s">
        <v>164</v>
      </c>
      <c r="B4" s="37" t="s">
        <v>165</v>
      </c>
    </row>
    <row r="5" customFormat="false" ht="14.15" hidden="false" customHeight="false" outlineLevel="0" collapsed="false">
      <c r="A5" s="28" t="s">
        <v>166</v>
      </c>
      <c r="B5" s="37" t="s">
        <v>167</v>
      </c>
    </row>
    <row r="6" customFormat="false" ht="14.15" hidden="false" customHeight="false" outlineLevel="0" collapsed="false">
      <c r="A6" s="28" t="s">
        <v>168</v>
      </c>
      <c r="B6" s="37" t="s">
        <v>169</v>
      </c>
    </row>
    <row r="7" customFormat="false" ht="14.15" hidden="false" customHeight="false" outlineLevel="0" collapsed="false">
      <c r="A7" s="28" t="s">
        <v>170</v>
      </c>
      <c r="B7" s="37" t="s">
        <v>171</v>
      </c>
    </row>
    <row r="8" customFormat="false" ht="14.15" hidden="false" customHeight="false" outlineLevel="0" collapsed="false">
      <c r="A8" s="28" t="s">
        <v>172</v>
      </c>
      <c r="B8" s="37" t="s">
        <v>173</v>
      </c>
    </row>
    <row r="9" customFormat="false" ht="14.15" hidden="false" customHeight="false" outlineLevel="0" collapsed="false">
      <c r="A9" s="28" t="s">
        <v>174</v>
      </c>
      <c r="B9" s="37" t="s">
        <v>175</v>
      </c>
    </row>
    <row r="10" customFormat="false" ht="14.15" hidden="false" customHeight="false" outlineLevel="0" collapsed="false">
      <c r="A10" s="28" t="s">
        <v>176</v>
      </c>
      <c r="B10" s="37" t="s">
        <v>177</v>
      </c>
    </row>
    <row r="11" customFormat="false" ht="15" hidden="false" customHeight="false" outlineLevel="0" collapsed="false">
      <c r="A11" s="28" t="s">
        <v>178</v>
      </c>
      <c r="B11" s="37" t="s">
        <v>179</v>
      </c>
    </row>
    <row r="12" customFormat="false" ht="15" hidden="false" customHeight="false" outlineLevel="0" collapsed="false">
      <c r="A12" s="28" t="s">
        <v>180</v>
      </c>
      <c r="B12" s="37" t="s">
        <v>181</v>
      </c>
    </row>
    <row r="13" customFormat="false" ht="14.15" hidden="false" customHeight="false" outlineLevel="0" collapsed="false">
      <c r="A13" s="38" t="s">
        <v>182</v>
      </c>
      <c r="B13" s="37" t="s">
        <v>183</v>
      </c>
    </row>
    <row r="14" customFormat="false" ht="14.15" hidden="false" customHeight="false" outlineLevel="0" collapsed="false">
      <c r="A14" s="38" t="s">
        <v>184</v>
      </c>
      <c r="B14" s="37" t="s">
        <v>185</v>
      </c>
    </row>
    <row r="15" customFormat="false" ht="15" hidden="false" customHeight="false" outlineLevel="0" collapsed="false">
      <c r="A15" s="28" t="s">
        <v>186</v>
      </c>
      <c r="B15" s="37" t="s">
        <v>187</v>
      </c>
    </row>
    <row r="16" customFormat="false" ht="15" hidden="false" customHeight="false" outlineLevel="0" collapsed="false">
      <c r="A16" s="28" t="s">
        <v>151</v>
      </c>
      <c r="B16" s="37" t="s">
        <v>188</v>
      </c>
    </row>
    <row r="17" customFormat="false" ht="15" hidden="false" customHeight="false" outlineLevel="0" collapsed="false">
      <c r="A17" s="28" t="s">
        <v>189</v>
      </c>
      <c r="B17" s="37" t="s">
        <v>190</v>
      </c>
    </row>
  </sheetData>
  <hyperlinks>
    <hyperlink ref="B3" r:id="rId1" display="https://www.mlit.go.jp/common/001358610.pdf"/>
    <hyperlink ref="B4" r:id="rId2" display="https://jta.or.jp/wp-content/themes/jta_theme/pdf/202410unchin.pdf"/>
    <hyperlink ref="B5" r:id="rId3" display="https://www.rinya.maff.go.jp/j/sekou/gijutu/attach/pdf/sekisan_kijun-374.pdf"/>
    <hyperlink ref="B6" r:id="rId4" display="https://www.pref.niigata.lg.jp/uploaded/attachment/474671.pdf"/>
    <hyperlink ref="B7" r:id="rId5" display="https://www.pref.iwate.jp/kendozukuri/kensetsu/1093671/1101385.html"/>
    <hyperlink ref="B8" r:id="rId6" display="https://www.pref.iwate.jp/_res/projects/default_project/_page_/001/101/385/261001_unnyouhen.pdf"/>
    <hyperlink ref="B9" r:id="rId7" display="https://www.gov-book.or.jp/book/detail.php?product_id=408304"/>
    <hyperlink ref="B10" r:id="rId8" display="https://www.rinya.maff.go.jp/tohoku/apply/publicsale/iwatenanbu/attach/pdf/tya-ta-2-5.pdf"/>
    <hyperlink ref="B11" r:id="rId9" display="https://oil-stat.com/light/%E5%B2%A9%E6%89%8B%E7%9C%8C.html"/>
    <hyperlink ref="B12" r:id="rId10" display="https://www.kaitoriou.net/page/knowledge/type/11679/"/>
    <hyperlink ref="B13" r:id="rId11" display="https://groowave.com/blog/truck/10t-dump/"/>
    <hyperlink ref="B14" r:id="rId12" display="https://satei.sigmaintl.jp/column/10532"/>
    <hyperlink ref="B15" r:id="rId13" display="http://shibata3000.com/wp/wp-content/uploads/rental_pricelist.pdf"/>
    <hyperlink ref="B16" r:id="rId14" display="https://www.matsudakougyou.com/price/"/>
    <hyperlink ref="B17" r:id="rId15" display="https://xn--pckua2a7gp15o89zb.com/%E3%83%80%E3%83%B3%E3%83%97%E9%81%8B%E8%BB%A2%E6%89%8B%E3%81%AE%E4%BB%95%E4%BA%8B-%E5%B2%A9%E6%89%8B%E7%9C%8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2026-10-29T11:31:08Z</dcterms:created>
  <dc:creator>openpyxl</dc:creator>
  <dc:description/>
  <dc:language>en-US</dc:language>
  <cp:lastModifiedBy/>
  <dcterms:modified xsi:type="dcterms:W3CDTF">2026-10-29T11:31:08Z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